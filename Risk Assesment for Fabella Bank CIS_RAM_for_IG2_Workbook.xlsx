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2.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defaultThemeVersion="166925"/>
  <mc:AlternateContent xmlns:mc="http://schemas.openxmlformats.org/markup-compatibility/2006">
    <mc:Choice Requires="x15">
      <x15ac:absPath xmlns:x15ac="http://schemas.microsoft.com/office/spreadsheetml/2010/11/ac" url="/Users/jacinta/Downloads/"/>
    </mc:Choice>
  </mc:AlternateContent>
  <xr:revisionPtr revIDLastSave="0" documentId="13_ncr:1_{0326F749-4441-7745-A141-06CBBC177C2B}" xr6:coauthVersionLast="47" xr6:coauthVersionMax="47" xr10:uidLastSave="{00000000-0000-0000-0000-000000000000}"/>
  <bookViews>
    <workbookView xWindow="0" yWindow="760" windowWidth="29400" windowHeight="16940" tabRatio="648" firstSheet="2" activeTab="4" xr2:uid="{5FB309F1-118B-4514-8FE1-25A01A609E8C}"/>
  </bookViews>
  <sheets>
    <sheet name="Cover" sheetId="17" r:id="rId1"/>
    <sheet name="MIS 595" sheetId="33" r:id="rId2"/>
    <sheet name="1. Impact Criteria Survey " sheetId="14" r:id="rId3"/>
    <sheet name="2. Enterprise Parameters" sheetId="13" r:id="rId4"/>
    <sheet name="3b. Risk Register Controls v8" sheetId="26" r:id="rId5"/>
    <sheet name="Legend" sheetId="18" r:id="rId6"/>
    <sheet name="Lookup Tables" sheetId="6" r:id="rId7"/>
    <sheet name="Impact Criteria Survey -EXAMPLE" sheetId="16" r:id="rId8"/>
    <sheet name="Enterprise Parameters  -EXAMPLE" sheetId="28" r:id="rId9"/>
    <sheet name="Risk Register Controls v8 - EX" sheetId="32" r:id="rId10"/>
  </sheets>
  <definedNames>
    <definedName name="AcceptableRisk">'2. Enterprise Parameters'!$E$35</definedName>
    <definedName name="AcceptableRisk1">'Enterprise Parameters  -EXAMPLE'!$E$35</definedName>
    <definedName name="Asset_Classes">Table10[[#Data],[Asset Classes]]</definedName>
    <definedName name="Industry" localSheetId="4">tblVCDBIndex[Asset Class]</definedName>
    <definedName name="Industry" localSheetId="8">tblVCDBIndex[Asset Class]</definedName>
    <definedName name="Industry" localSheetId="7">tblVCDBIndex[Asset Class]</definedName>
    <definedName name="Industry" localSheetId="9">tblVCDBIndex[Asset Class]</definedName>
    <definedName name="Industry">tblVCDBIndex[Asset Class]</definedName>
    <definedName name="Maturity_Score" localSheetId="4">tblMaturityScores[Maturity Scores]</definedName>
    <definedName name="Maturity_Score" localSheetId="8">tblMaturityScores[Maturity Scores]</definedName>
    <definedName name="Maturity_Score" localSheetId="7">tblMaturityScores[Maturity Scores]</definedName>
    <definedName name="Maturity_Score" localSheetId="9">tblMaturityScores[Maturity Scores]</definedName>
    <definedName name="Maturity_Score">tblMaturityScores[Maturity Scores]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3" l="1"/>
  <c r="E12" i="13"/>
  <c r="F12" i="13"/>
  <c r="G12" i="13"/>
  <c r="G16" i="13"/>
  <c r="E11" i="13"/>
  <c r="E13" i="13"/>
  <c r="E14" i="13"/>
  <c r="E15" i="13"/>
  <c r="E16" i="13"/>
  <c r="AE12" i="32"/>
  <c r="AE13" i="32"/>
  <c r="AE14" i="32"/>
  <c r="AE15" i="32"/>
  <c r="AE16" i="32"/>
  <c r="AE17" i="32"/>
  <c r="AE18" i="32"/>
  <c r="AE19" i="32"/>
  <c r="AE20" i="32"/>
  <c r="AE21" i="32"/>
  <c r="AD12" i="32"/>
  <c r="AD13" i="32"/>
  <c r="AD14" i="32"/>
  <c r="AD15" i="32"/>
  <c r="AD16" i="32"/>
  <c r="AD17" i="32"/>
  <c r="AD18" i="32"/>
  <c r="AD19" i="32"/>
  <c r="AD20" i="32"/>
  <c r="AD21" i="32"/>
  <c r="AC12" i="32"/>
  <c r="AC13" i="32"/>
  <c r="AC14" i="32"/>
  <c r="AC15" i="32"/>
  <c r="AC16" i="32"/>
  <c r="AC17" i="32"/>
  <c r="AC18" i="32"/>
  <c r="AC19" i="32"/>
  <c r="AC20" i="32"/>
  <c r="AC21" i="32"/>
  <c r="AB12" i="32"/>
  <c r="AB13" i="32"/>
  <c r="AB14" i="32"/>
  <c r="AB15" i="32"/>
  <c r="AB16" i="32"/>
  <c r="AB17" i="32"/>
  <c r="AB18" i="32"/>
  <c r="AB19" i="32"/>
  <c r="AB20" i="32"/>
  <c r="AB21" i="32"/>
  <c r="AA16" i="26"/>
  <c r="AA17" i="26"/>
  <c r="AA18" i="26"/>
  <c r="AA19" i="26"/>
  <c r="AA20" i="26"/>
  <c r="AA33" i="26"/>
  <c r="AA57" i="26"/>
  <c r="AA58" i="26"/>
  <c r="AA59" i="26"/>
  <c r="AA60" i="26"/>
  <c r="AA61" i="26"/>
  <c r="AA62" i="26"/>
  <c r="AA63" i="26"/>
  <c r="AA75" i="26"/>
  <c r="AA78" i="26"/>
  <c r="AA119" i="26"/>
  <c r="AA122" i="26"/>
  <c r="AA123" i="26"/>
  <c r="AA124" i="26"/>
  <c r="AA125" i="26"/>
  <c r="AA126" i="26"/>
  <c r="AA127" i="26"/>
  <c r="AA128" i="26"/>
  <c r="AA129" i="26"/>
  <c r="AA120" i="26"/>
  <c r="AA121" i="26"/>
  <c r="AA21" i="26"/>
  <c r="AA25" i="26"/>
  <c r="AA26" i="26"/>
  <c r="AA27" i="26"/>
  <c r="AA28" i="26"/>
  <c r="AA30" i="26"/>
  <c r="AA31" i="26"/>
  <c r="AA32" i="26"/>
  <c r="AA22" i="26"/>
  <c r="AA23" i="26"/>
  <c r="AA88" i="26"/>
  <c r="AA89" i="26"/>
  <c r="AA90" i="26"/>
  <c r="AA91" i="26"/>
  <c r="AA92" i="26"/>
  <c r="AA11" i="26"/>
  <c r="AA12" i="26"/>
  <c r="AA13" i="26"/>
  <c r="AA14" i="26"/>
  <c r="AA29" i="26"/>
  <c r="AA38" i="26"/>
  <c r="AA39" i="26"/>
  <c r="AA42" i="26"/>
  <c r="AA43" i="26"/>
  <c r="AA34" i="26"/>
  <c r="AA35" i="26"/>
  <c r="AA73" i="26"/>
  <c r="AA81" i="26"/>
  <c r="AA82" i="26"/>
  <c r="AA83" i="26"/>
  <c r="AA84" i="26"/>
  <c r="AA85" i="26"/>
  <c r="AA86" i="26"/>
  <c r="AA87" i="26"/>
  <c r="AA99" i="26"/>
  <c r="AA101" i="26"/>
  <c r="AA104" i="26"/>
  <c r="AA24" i="26"/>
  <c r="AA36" i="26"/>
  <c r="AA40" i="26"/>
  <c r="AA64" i="26"/>
  <c r="AA67" i="26"/>
  <c r="AA68" i="26"/>
  <c r="AA69" i="26"/>
  <c r="AA70" i="26"/>
  <c r="AA71" i="26"/>
  <c r="AA72" i="26"/>
  <c r="AA74" i="26"/>
  <c r="AA65" i="26"/>
  <c r="AA66" i="26"/>
  <c r="AA76" i="26"/>
  <c r="AA77" i="26"/>
  <c r="AA79" i="26"/>
  <c r="AA80" i="26"/>
  <c r="AA93" i="26"/>
  <c r="AA94" i="26"/>
  <c r="AA95" i="26"/>
  <c r="AA96" i="26"/>
  <c r="AA97" i="26"/>
  <c r="AA98" i="26"/>
  <c r="AA100" i="26"/>
  <c r="AA102" i="26"/>
  <c r="AA103" i="26"/>
  <c r="AA105" i="26"/>
  <c r="AA139" i="26"/>
  <c r="AA140" i="26"/>
  <c r="AA37" i="26"/>
  <c r="AA41" i="26"/>
  <c r="AA44" i="26"/>
  <c r="AA45" i="26"/>
  <c r="AA46" i="26"/>
  <c r="AA47" i="26"/>
  <c r="AA48" i="26"/>
  <c r="AA49" i="26"/>
  <c r="AA50" i="26"/>
  <c r="AA51" i="26"/>
  <c r="AA52" i="26"/>
  <c r="AA53" i="26"/>
  <c r="AA54" i="26"/>
  <c r="AA55" i="26"/>
  <c r="AA56" i="26"/>
  <c r="AA15" i="26"/>
  <c r="Z16" i="26"/>
  <c r="Z17" i="26"/>
  <c r="Z18" i="26"/>
  <c r="Z19" i="26"/>
  <c r="Z20" i="26"/>
  <c r="Z33" i="26"/>
  <c r="Z57" i="26"/>
  <c r="Z58" i="26"/>
  <c r="Z59" i="26"/>
  <c r="Z60" i="26"/>
  <c r="Z61" i="26"/>
  <c r="Z62" i="26"/>
  <c r="Z63" i="26"/>
  <c r="Z75" i="26"/>
  <c r="Z78" i="26"/>
  <c r="Z119" i="26"/>
  <c r="Z122" i="26"/>
  <c r="Z123" i="26"/>
  <c r="Z124" i="26"/>
  <c r="Z125" i="26"/>
  <c r="Z126" i="26"/>
  <c r="Z127" i="26"/>
  <c r="Z128" i="26"/>
  <c r="Z129" i="26"/>
  <c r="Z120" i="26"/>
  <c r="Z121" i="26"/>
  <c r="Z21" i="26"/>
  <c r="Z25" i="26"/>
  <c r="Z26" i="26"/>
  <c r="Z27" i="26"/>
  <c r="Z28" i="26"/>
  <c r="Z30" i="26"/>
  <c r="Z31" i="26"/>
  <c r="Z32" i="26"/>
  <c r="Z22" i="26"/>
  <c r="Z23" i="26"/>
  <c r="Z88" i="26"/>
  <c r="Z89" i="26"/>
  <c r="Z90" i="26"/>
  <c r="Z91" i="26"/>
  <c r="Z92" i="26"/>
  <c r="Z11" i="26"/>
  <c r="Z12" i="26"/>
  <c r="Z13" i="26"/>
  <c r="Z14" i="26"/>
  <c r="Z29" i="26"/>
  <c r="Z38" i="26"/>
  <c r="Z39" i="26"/>
  <c r="Z42" i="26"/>
  <c r="Z43" i="26"/>
  <c r="Z34" i="26"/>
  <c r="Z35" i="26"/>
  <c r="Z73" i="26"/>
  <c r="Z81" i="26"/>
  <c r="Z82" i="26"/>
  <c r="Z83" i="26"/>
  <c r="Z84" i="26"/>
  <c r="Z85" i="26"/>
  <c r="Z86" i="26"/>
  <c r="Z87" i="26"/>
  <c r="Z99" i="26"/>
  <c r="Z101" i="26"/>
  <c r="Z104" i="26"/>
  <c r="Z24" i="26"/>
  <c r="Z36" i="26"/>
  <c r="Z40" i="26"/>
  <c r="Z64" i="26"/>
  <c r="Z67" i="26"/>
  <c r="Z68" i="26"/>
  <c r="Z69" i="26"/>
  <c r="Z70" i="26"/>
  <c r="Z71" i="26"/>
  <c r="Z72" i="26"/>
  <c r="Z74" i="26"/>
  <c r="Z65" i="26"/>
  <c r="Z66" i="26"/>
  <c r="Z76" i="26"/>
  <c r="Z77" i="26"/>
  <c r="Z79" i="26"/>
  <c r="Z80" i="26"/>
  <c r="Z93" i="26"/>
  <c r="Z94" i="26"/>
  <c r="Z95" i="26"/>
  <c r="Z96" i="26"/>
  <c r="Z97" i="26"/>
  <c r="Z98" i="26"/>
  <c r="Z100" i="26"/>
  <c r="Z102" i="26"/>
  <c r="Z103" i="26"/>
  <c r="Z105" i="26"/>
  <c r="Z139" i="26"/>
  <c r="Z140" i="26"/>
  <c r="Z37" i="26"/>
  <c r="Z41" i="26"/>
  <c r="Z44" i="26"/>
  <c r="Z45" i="26"/>
  <c r="Z46" i="26"/>
  <c r="Z47" i="26"/>
  <c r="Z48" i="26"/>
  <c r="Z49" i="26"/>
  <c r="Z50" i="26"/>
  <c r="Z51" i="26"/>
  <c r="Z52" i="26"/>
  <c r="Z53" i="26"/>
  <c r="Z54" i="26"/>
  <c r="Z55" i="26"/>
  <c r="Z56" i="26"/>
  <c r="Z15" i="26"/>
  <c r="Y16" i="26"/>
  <c r="Y17" i="26"/>
  <c r="Y18" i="26"/>
  <c r="Y19" i="26"/>
  <c r="Y20" i="26"/>
  <c r="Y33" i="26"/>
  <c r="Y57" i="26"/>
  <c r="Y58" i="26"/>
  <c r="Y59" i="26"/>
  <c r="Y60" i="26"/>
  <c r="Y61" i="26"/>
  <c r="Y62" i="26"/>
  <c r="Y63" i="26"/>
  <c r="Y75" i="26"/>
  <c r="Y78" i="26"/>
  <c r="Y119" i="26"/>
  <c r="Y122" i="26"/>
  <c r="Y123" i="26"/>
  <c r="Y124" i="26"/>
  <c r="Y125" i="26"/>
  <c r="Y126" i="26"/>
  <c r="Y127" i="26"/>
  <c r="Y128" i="26"/>
  <c r="Y129" i="26"/>
  <c r="Y120" i="26"/>
  <c r="Y121" i="26"/>
  <c r="Y21" i="26"/>
  <c r="Y25" i="26"/>
  <c r="Y26" i="26"/>
  <c r="Y27" i="26"/>
  <c r="Y28" i="26"/>
  <c r="Y30" i="26"/>
  <c r="Y31" i="26"/>
  <c r="Y32" i="26"/>
  <c r="Y22" i="26"/>
  <c r="Y23" i="26"/>
  <c r="Y88" i="26"/>
  <c r="Y89" i="26"/>
  <c r="Y90" i="26"/>
  <c r="Y91" i="26"/>
  <c r="Y92" i="26"/>
  <c r="Y11" i="26"/>
  <c r="Y12" i="26"/>
  <c r="Y13" i="26"/>
  <c r="Y14" i="26"/>
  <c r="Y29" i="26"/>
  <c r="Y38" i="26"/>
  <c r="Y39" i="26"/>
  <c r="Y42" i="26"/>
  <c r="Y43" i="26"/>
  <c r="Y34" i="26"/>
  <c r="Y35" i="26"/>
  <c r="Y73" i="26"/>
  <c r="Y81" i="26"/>
  <c r="Y82" i="26"/>
  <c r="Y83" i="26"/>
  <c r="Y84" i="26"/>
  <c r="Y85" i="26"/>
  <c r="Y86" i="26"/>
  <c r="Y87" i="26"/>
  <c r="Y99" i="26"/>
  <c r="Y101" i="26"/>
  <c r="Y104" i="26"/>
  <c r="Y24" i="26"/>
  <c r="Y36" i="26"/>
  <c r="Y40" i="26"/>
  <c r="Y64" i="26"/>
  <c r="Y67" i="26"/>
  <c r="Y68" i="26"/>
  <c r="Y69" i="26"/>
  <c r="Y70" i="26"/>
  <c r="Y71" i="26"/>
  <c r="Y72" i="26"/>
  <c r="Y74" i="26"/>
  <c r="Y65" i="26"/>
  <c r="Y66" i="26"/>
  <c r="Y76" i="26"/>
  <c r="Y77" i="26"/>
  <c r="Y79" i="26"/>
  <c r="Y80" i="26"/>
  <c r="Y93" i="26"/>
  <c r="Y94" i="26"/>
  <c r="Y95" i="26"/>
  <c r="Y96" i="26"/>
  <c r="Y97" i="26"/>
  <c r="Y98" i="26"/>
  <c r="Y100" i="26"/>
  <c r="Y102" i="26"/>
  <c r="Y103" i="26"/>
  <c r="Y105" i="26"/>
  <c r="Y139" i="26"/>
  <c r="Y140" i="26"/>
  <c r="Y37" i="26"/>
  <c r="Y41" i="26"/>
  <c r="Y44" i="26"/>
  <c r="Y45" i="26"/>
  <c r="Y46" i="26"/>
  <c r="Y47" i="26"/>
  <c r="Y48" i="26"/>
  <c r="Y49" i="26"/>
  <c r="Y50" i="26"/>
  <c r="Y51" i="26"/>
  <c r="Y52" i="26"/>
  <c r="Y53" i="26"/>
  <c r="Y54" i="26"/>
  <c r="Y55" i="26"/>
  <c r="Y56" i="26"/>
  <c r="Y15" i="26"/>
  <c r="X16" i="26"/>
  <c r="X17" i="26"/>
  <c r="X18" i="26"/>
  <c r="X19" i="26"/>
  <c r="X20" i="26"/>
  <c r="X33" i="26"/>
  <c r="X57" i="26"/>
  <c r="X58" i="26"/>
  <c r="X59" i="26"/>
  <c r="X60" i="26"/>
  <c r="X61" i="26"/>
  <c r="X62" i="26"/>
  <c r="X63" i="26"/>
  <c r="X75" i="26"/>
  <c r="X78" i="26"/>
  <c r="X119" i="26"/>
  <c r="X122" i="26"/>
  <c r="X123" i="26"/>
  <c r="X124" i="26"/>
  <c r="X125" i="26"/>
  <c r="X126" i="26"/>
  <c r="X127" i="26"/>
  <c r="X128" i="26"/>
  <c r="X129" i="26"/>
  <c r="X120" i="26"/>
  <c r="X121" i="26"/>
  <c r="X21" i="26"/>
  <c r="X25" i="26"/>
  <c r="X26" i="26"/>
  <c r="X27" i="26"/>
  <c r="X28" i="26"/>
  <c r="X30" i="26"/>
  <c r="X31" i="26"/>
  <c r="X32" i="26"/>
  <c r="X22" i="26"/>
  <c r="X23" i="26"/>
  <c r="X88" i="26"/>
  <c r="X89" i="26"/>
  <c r="X90" i="26"/>
  <c r="X91" i="26"/>
  <c r="X92" i="26"/>
  <c r="X24" i="26"/>
  <c r="X36" i="26"/>
  <c r="X40" i="26"/>
  <c r="X64" i="26"/>
  <c r="X67" i="26"/>
  <c r="X68" i="26"/>
  <c r="X69" i="26"/>
  <c r="X70" i="26"/>
  <c r="X71" i="26"/>
  <c r="X72" i="26"/>
  <c r="X74" i="26"/>
  <c r="X65" i="26"/>
  <c r="X66" i="26"/>
  <c r="X76" i="26"/>
  <c r="X77" i="26"/>
  <c r="X79" i="26"/>
  <c r="X80" i="26"/>
  <c r="X93" i="26"/>
  <c r="X94" i="26"/>
  <c r="X95" i="26"/>
  <c r="X96" i="26"/>
  <c r="X97" i="26"/>
  <c r="X98" i="26"/>
  <c r="X100" i="26"/>
  <c r="X102" i="26"/>
  <c r="X103" i="26"/>
  <c r="X105" i="26"/>
  <c r="X139" i="26"/>
  <c r="X140" i="26"/>
  <c r="X37" i="26"/>
  <c r="X41" i="26"/>
  <c r="X44" i="26"/>
  <c r="X45" i="26"/>
  <c r="X46" i="26"/>
  <c r="X47" i="26"/>
  <c r="X48" i="26"/>
  <c r="X49" i="26"/>
  <c r="X50" i="26"/>
  <c r="X51" i="26"/>
  <c r="X52" i="26"/>
  <c r="X53" i="26"/>
  <c r="X54" i="26"/>
  <c r="X55" i="26"/>
  <c r="X56" i="26"/>
  <c r="X15" i="26"/>
  <c r="G42" i="28" l="1"/>
  <c r="F42" i="28"/>
  <c r="E42" i="28"/>
  <c r="D42" i="28"/>
  <c r="G42" i="13"/>
  <c r="E42" i="13"/>
  <c r="AA109" i="26" l="1"/>
  <c r="AA132" i="26"/>
  <c r="AA110" i="26"/>
  <c r="AA133" i="26"/>
  <c r="AA131" i="26"/>
  <c r="AA111" i="26"/>
  <c r="AA134" i="26"/>
  <c r="AA112" i="26"/>
  <c r="AA135" i="26"/>
  <c r="AA108" i="26"/>
  <c r="AA113" i="26"/>
  <c r="AA136" i="26"/>
  <c r="AA114" i="26"/>
  <c r="AA137" i="26"/>
  <c r="AA115" i="26"/>
  <c r="AA138" i="26"/>
  <c r="AA116" i="26"/>
  <c r="AA117" i="26"/>
  <c r="AA106" i="26"/>
  <c r="AA118" i="26"/>
  <c r="AA107" i="26"/>
  <c r="AA130" i="26"/>
  <c r="Z111" i="26"/>
  <c r="Z134" i="26"/>
  <c r="Y113" i="26"/>
  <c r="Y136" i="26"/>
  <c r="Z112" i="26"/>
  <c r="Z135" i="26"/>
  <c r="Y114" i="26"/>
  <c r="Y137" i="26"/>
  <c r="Z113" i="26"/>
  <c r="Z136" i="26"/>
  <c r="Y115" i="26"/>
  <c r="Y138" i="26"/>
  <c r="Z114" i="26"/>
  <c r="Z137" i="26"/>
  <c r="Y116" i="26"/>
  <c r="Z133" i="26"/>
  <c r="Y135" i="26"/>
  <c r="Z115" i="26"/>
  <c r="Z138" i="26"/>
  <c r="Y117" i="26"/>
  <c r="Z116" i="26"/>
  <c r="Y106" i="26"/>
  <c r="Y118" i="26"/>
  <c r="Z117" i="26"/>
  <c r="Y107" i="26"/>
  <c r="Y130" i="26"/>
  <c r="Y131" i="26"/>
  <c r="Y112" i="26"/>
  <c r="Z106" i="26"/>
  <c r="Z118" i="26"/>
  <c r="Y108" i="26"/>
  <c r="Z107" i="26"/>
  <c r="Z130" i="26"/>
  <c r="Y109" i="26"/>
  <c r="Y132" i="26"/>
  <c r="Z110" i="26"/>
  <c r="Z108" i="26"/>
  <c r="Z131" i="26"/>
  <c r="Y110" i="26"/>
  <c r="Y133" i="26"/>
  <c r="Z109" i="26"/>
  <c r="Z132" i="26"/>
  <c r="Y111" i="26"/>
  <c r="Y134" i="26"/>
  <c r="D42" i="13"/>
  <c r="X43" i="26"/>
  <c r="X101" i="26"/>
  <c r="X34" i="26"/>
  <c r="X104" i="26"/>
  <c r="X87" i="26"/>
  <c r="X35" i="26"/>
  <c r="X73" i="26"/>
  <c r="X11" i="26"/>
  <c r="X81" i="26"/>
  <c r="X12" i="26"/>
  <c r="X82" i="26"/>
  <c r="X13" i="26"/>
  <c r="X83" i="26"/>
  <c r="X85" i="26"/>
  <c r="X39" i="26"/>
  <c r="X14" i="26"/>
  <c r="X84" i="26"/>
  <c r="X29" i="26"/>
  <c r="X38" i="26"/>
  <c r="X86" i="26"/>
  <c r="X42" i="26"/>
  <c r="X99" i="26"/>
  <c r="O14" i="32"/>
  <c r="P14" i="32"/>
  <c r="Q14" i="32"/>
  <c r="R14" i="32"/>
  <c r="X116" i="26" l="1"/>
  <c r="X135" i="26"/>
  <c r="X117" i="26"/>
  <c r="X132" i="26"/>
  <c r="X112" i="26"/>
  <c r="X106" i="26"/>
  <c r="X118" i="26"/>
  <c r="X107" i="26"/>
  <c r="X130" i="26"/>
  <c r="X109" i="26"/>
  <c r="X114" i="26"/>
  <c r="X108" i="26"/>
  <c r="X131" i="26"/>
  <c r="X110" i="26"/>
  <c r="X133" i="26"/>
  <c r="X111" i="26"/>
  <c r="X134" i="26"/>
  <c r="X137" i="26"/>
  <c r="X113" i="26"/>
  <c r="X136" i="26"/>
  <c r="X115" i="26"/>
  <c r="X138" i="26"/>
  <c r="O12" i="32" l="1"/>
  <c r="P12" i="32"/>
  <c r="Q12" i="32"/>
  <c r="R12" i="32"/>
  <c r="AL11" i="32" l="1"/>
  <c r="E3" i="26" l="1"/>
  <c r="R142" i="32" l="1"/>
  <c r="R141" i="32"/>
  <c r="R140" i="32"/>
  <c r="R139" i="32"/>
  <c r="R138" i="32"/>
  <c r="R137" i="32"/>
  <c r="R136" i="32"/>
  <c r="R135" i="32"/>
  <c r="R134" i="32"/>
  <c r="R133" i="32"/>
  <c r="R132" i="32"/>
  <c r="R131" i="32"/>
  <c r="R130" i="32"/>
  <c r="R129" i="32"/>
  <c r="R128" i="32"/>
  <c r="R127" i="32"/>
  <c r="R126" i="32"/>
  <c r="R125" i="32"/>
  <c r="R124" i="32"/>
  <c r="R123" i="32"/>
  <c r="R122" i="32"/>
  <c r="R121" i="32"/>
  <c r="R120" i="32"/>
  <c r="R119" i="32"/>
  <c r="R118" i="32"/>
  <c r="R117" i="32"/>
  <c r="R116" i="32"/>
  <c r="R115" i="32"/>
  <c r="R114" i="32"/>
  <c r="R113" i="32"/>
  <c r="R112" i="32"/>
  <c r="R111" i="32"/>
  <c r="R110" i="32"/>
  <c r="R109" i="32"/>
  <c r="R108" i="32"/>
  <c r="R107" i="32"/>
  <c r="R106" i="32"/>
  <c r="R105" i="32"/>
  <c r="R104" i="32"/>
  <c r="R103" i="32"/>
  <c r="R102" i="32"/>
  <c r="R101" i="32"/>
  <c r="R100" i="32"/>
  <c r="R99" i="32"/>
  <c r="R76" i="32"/>
  <c r="R75" i="32"/>
  <c r="R74" i="32"/>
  <c r="R73" i="32"/>
  <c r="R72" i="32"/>
  <c r="R71" i="32"/>
  <c r="R70" i="32"/>
  <c r="R69" i="32"/>
  <c r="R68" i="32"/>
  <c r="R67" i="32"/>
  <c r="R66" i="32"/>
  <c r="R65" i="32"/>
  <c r="R64" i="32"/>
  <c r="R63" i="32"/>
  <c r="R62" i="32"/>
  <c r="R61" i="32"/>
  <c r="R60" i="32"/>
  <c r="R59" i="32"/>
  <c r="R58" i="32"/>
  <c r="R57" i="32"/>
  <c r="R56" i="32"/>
  <c r="R55" i="32"/>
  <c r="R54" i="32"/>
  <c r="R53" i="32"/>
  <c r="R52" i="32"/>
  <c r="R51" i="32"/>
  <c r="R50" i="32"/>
  <c r="R49" i="32"/>
  <c r="R48" i="32"/>
  <c r="R47" i="32"/>
  <c r="R46" i="32"/>
  <c r="R45" i="32"/>
  <c r="R44" i="32"/>
  <c r="R43" i="32"/>
  <c r="R42" i="32"/>
  <c r="R41" i="32"/>
  <c r="R40" i="32"/>
  <c r="R39" i="32"/>
  <c r="R38" i="32"/>
  <c r="R37" i="32"/>
  <c r="R36" i="32"/>
  <c r="R35" i="32"/>
  <c r="R34" i="32"/>
  <c r="R33" i="32"/>
  <c r="R32" i="32"/>
  <c r="R31" i="32"/>
  <c r="R30" i="32"/>
  <c r="R29" i="32"/>
  <c r="R28" i="32"/>
  <c r="R27" i="32"/>
  <c r="R26" i="32"/>
  <c r="R25" i="32"/>
  <c r="R24" i="32"/>
  <c r="R23" i="32"/>
  <c r="R22" i="32"/>
  <c r="R21" i="32"/>
  <c r="R20" i="32"/>
  <c r="R19" i="32"/>
  <c r="R18" i="32"/>
  <c r="R17" i="32"/>
  <c r="R16" i="32"/>
  <c r="R15" i="32"/>
  <c r="R13" i="32"/>
  <c r="F13" i="13" l="1"/>
  <c r="AE11" i="32" l="1"/>
  <c r="AD11" i="32"/>
  <c r="AC11" i="32"/>
  <c r="AB11" i="32"/>
  <c r="R11" i="32"/>
  <c r="Q13" i="32"/>
  <c r="Q15" i="32"/>
  <c r="Q16" i="32"/>
  <c r="Q17" i="32"/>
  <c r="Q18" i="32"/>
  <c r="Q19" i="32"/>
  <c r="Q20" i="32"/>
  <c r="Q21" i="32"/>
  <c r="Q22" i="32"/>
  <c r="Q23" i="32"/>
  <c r="Q24" i="32"/>
  <c r="Q25" i="32"/>
  <c r="Q26" i="32"/>
  <c r="Q27" i="32"/>
  <c r="Q28" i="32"/>
  <c r="Q29" i="32"/>
  <c r="Q30" i="32"/>
  <c r="Q31" i="32"/>
  <c r="Q32" i="32"/>
  <c r="Q33" i="32"/>
  <c r="Q34" i="32"/>
  <c r="Q35" i="32"/>
  <c r="Q36" i="32"/>
  <c r="Q37" i="32"/>
  <c r="Q38" i="32"/>
  <c r="Q39" i="32"/>
  <c r="Q40" i="32"/>
  <c r="Q41" i="32"/>
  <c r="Q42" i="32"/>
  <c r="Q43" i="32"/>
  <c r="Q44" i="32"/>
  <c r="Q45" i="32"/>
  <c r="Q46" i="32"/>
  <c r="Q47" i="32"/>
  <c r="Q48" i="32"/>
  <c r="Q49" i="32"/>
  <c r="Q50" i="32"/>
  <c r="Q51" i="32"/>
  <c r="Q52" i="32"/>
  <c r="Q53" i="32"/>
  <c r="Q54" i="32"/>
  <c r="Q55" i="32"/>
  <c r="Q56" i="32"/>
  <c r="Q57" i="32"/>
  <c r="Q58" i="32"/>
  <c r="Q59" i="32"/>
  <c r="Q60" i="32"/>
  <c r="Q61" i="32"/>
  <c r="Q62" i="32"/>
  <c r="Q63" i="32"/>
  <c r="Q64" i="32"/>
  <c r="Q65" i="32"/>
  <c r="Q66" i="32"/>
  <c r="Q67" i="32"/>
  <c r="Q68" i="32"/>
  <c r="Q69" i="32"/>
  <c r="Q70" i="32"/>
  <c r="Q71" i="32"/>
  <c r="Q72" i="32"/>
  <c r="Q73" i="32"/>
  <c r="Q74" i="32"/>
  <c r="Q75" i="32"/>
  <c r="Q76" i="32"/>
  <c r="Q99" i="32"/>
  <c r="Q100" i="32"/>
  <c r="Q101" i="32"/>
  <c r="Q102" i="32"/>
  <c r="Q103" i="32"/>
  <c r="Q104" i="32"/>
  <c r="Q105" i="32"/>
  <c r="Q106" i="32"/>
  <c r="Q107" i="32"/>
  <c r="Q108" i="32"/>
  <c r="Q109" i="32"/>
  <c r="Q110" i="32"/>
  <c r="Q111" i="32"/>
  <c r="Q112" i="32"/>
  <c r="Q113" i="32"/>
  <c r="Q114" i="32"/>
  <c r="Q115" i="32"/>
  <c r="Q116" i="32"/>
  <c r="Q117" i="32"/>
  <c r="Q118" i="32"/>
  <c r="Q119" i="32"/>
  <c r="Q120" i="32"/>
  <c r="Q121" i="32"/>
  <c r="Q122" i="32"/>
  <c r="Q123" i="32"/>
  <c r="Q124" i="32"/>
  <c r="Q125" i="32"/>
  <c r="Q126" i="32"/>
  <c r="Q127" i="32"/>
  <c r="Q128" i="32"/>
  <c r="Q129" i="32"/>
  <c r="Q130" i="32"/>
  <c r="Q131" i="32"/>
  <c r="Q132" i="32"/>
  <c r="Q133" i="32"/>
  <c r="Q134" i="32"/>
  <c r="Q135" i="32"/>
  <c r="Q136" i="32"/>
  <c r="Q137" i="32"/>
  <c r="Q138" i="32"/>
  <c r="Q139" i="32"/>
  <c r="Q140" i="32"/>
  <c r="Q141" i="32"/>
  <c r="Q142" i="32"/>
  <c r="Q11" i="32"/>
  <c r="P13" i="32"/>
  <c r="P15" i="32"/>
  <c r="P16" i="32"/>
  <c r="P17" i="32"/>
  <c r="P18" i="32"/>
  <c r="P19" i="32"/>
  <c r="P20" i="32"/>
  <c r="P21" i="32"/>
  <c r="P22" i="32"/>
  <c r="P23" i="32"/>
  <c r="P24" i="32"/>
  <c r="P25" i="32"/>
  <c r="P26" i="32"/>
  <c r="P27" i="32"/>
  <c r="P28" i="32"/>
  <c r="P29" i="32"/>
  <c r="P30" i="32"/>
  <c r="P31" i="32"/>
  <c r="P32" i="32"/>
  <c r="P33" i="32"/>
  <c r="P34" i="32"/>
  <c r="P35" i="32"/>
  <c r="P36" i="32"/>
  <c r="P37" i="32"/>
  <c r="P38" i="32"/>
  <c r="P39" i="32"/>
  <c r="P40" i="32"/>
  <c r="P41" i="32"/>
  <c r="P42" i="32"/>
  <c r="P43" i="32"/>
  <c r="P44" i="32"/>
  <c r="P45" i="32"/>
  <c r="P46" i="32"/>
  <c r="P47" i="32"/>
  <c r="P48" i="32"/>
  <c r="P49" i="32"/>
  <c r="P50" i="32"/>
  <c r="P51" i="32"/>
  <c r="P52" i="32"/>
  <c r="P53" i="32"/>
  <c r="P54" i="32"/>
  <c r="P55" i="32"/>
  <c r="P56" i="32"/>
  <c r="P57" i="32"/>
  <c r="P58" i="32"/>
  <c r="P59" i="32"/>
  <c r="P60" i="32"/>
  <c r="P61" i="32"/>
  <c r="P62" i="32"/>
  <c r="P63" i="32"/>
  <c r="P64" i="32"/>
  <c r="P65" i="32"/>
  <c r="P66" i="32"/>
  <c r="P67" i="32"/>
  <c r="P68" i="32"/>
  <c r="P69" i="32"/>
  <c r="P70" i="32"/>
  <c r="P71" i="32"/>
  <c r="P72" i="32"/>
  <c r="P73" i="32"/>
  <c r="P74" i="32"/>
  <c r="P75" i="32"/>
  <c r="P76" i="32"/>
  <c r="P99" i="32"/>
  <c r="P100" i="32"/>
  <c r="P101" i="32"/>
  <c r="P102" i="32"/>
  <c r="P103" i="32"/>
  <c r="P104" i="32"/>
  <c r="P105" i="32"/>
  <c r="P106" i="32"/>
  <c r="P107" i="32"/>
  <c r="P108" i="32"/>
  <c r="P109" i="32"/>
  <c r="P110" i="32"/>
  <c r="P111" i="32"/>
  <c r="P112" i="32"/>
  <c r="P113" i="32"/>
  <c r="P114" i="32"/>
  <c r="P115" i="32"/>
  <c r="P116" i="32"/>
  <c r="P117" i="32"/>
  <c r="P118" i="32"/>
  <c r="P119" i="32"/>
  <c r="P120" i="32"/>
  <c r="P121" i="32"/>
  <c r="P122" i="32"/>
  <c r="P123" i="32"/>
  <c r="P124" i="32"/>
  <c r="P125" i="32"/>
  <c r="P126" i="32"/>
  <c r="P127" i="32"/>
  <c r="P128" i="32"/>
  <c r="P129" i="32"/>
  <c r="P130" i="32"/>
  <c r="P131" i="32"/>
  <c r="P132" i="32"/>
  <c r="P133" i="32"/>
  <c r="P134" i="32"/>
  <c r="P135" i="32"/>
  <c r="P136" i="32"/>
  <c r="P137" i="32"/>
  <c r="P138" i="32"/>
  <c r="P139" i="32"/>
  <c r="P140" i="32"/>
  <c r="P141" i="32"/>
  <c r="P142" i="32"/>
  <c r="P11" i="32"/>
  <c r="O13" i="32"/>
  <c r="O15" i="32"/>
  <c r="O16" i="32"/>
  <c r="O17" i="32"/>
  <c r="O18" i="32"/>
  <c r="O19" i="32"/>
  <c r="O20" i="32"/>
  <c r="O21" i="32"/>
  <c r="O22" i="32"/>
  <c r="O23" i="32"/>
  <c r="O24" i="32"/>
  <c r="O25" i="32"/>
  <c r="O26" i="32"/>
  <c r="O27" i="32"/>
  <c r="O28" i="32"/>
  <c r="O29" i="32"/>
  <c r="O30" i="32"/>
  <c r="O31" i="32"/>
  <c r="O32" i="32"/>
  <c r="O33" i="32"/>
  <c r="O34" i="32"/>
  <c r="O35" i="32"/>
  <c r="O36" i="32"/>
  <c r="O37" i="32"/>
  <c r="O38" i="32"/>
  <c r="O39" i="32"/>
  <c r="O40" i="32"/>
  <c r="O41" i="32"/>
  <c r="O42" i="32"/>
  <c r="O43" i="32"/>
  <c r="O44" i="32"/>
  <c r="O45" i="32"/>
  <c r="O46" i="32"/>
  <c r="O47" i="32"/>
  <c r="O48" i="32"/>
  <c r="O49" i="32"/>
  <c r="O50" i="32"/>
  <c r="O51" i="32"/>
  <c r="O52" i="32"/>
  <c r="O53" i="32"/>
  <c r="O54" i="32"/>
  <c r="O55" i="32"/>
  <c r="O56" i="32"/>
  <c r="O57" i="32"/>
  <c r="O58" i="32"/>
  <c r="O59" i="32"/>
  <c r="O60" i="32"/>
  <c r="O61" i="32"/>
  <c r="O62" i="32"/>
  <c r="O63" i="32"/>
  <c r="O64" i="32"/>
  <c r="O65" i="32"/>
  <c r="O66" i="32"/>
  <c r="O67" i="32"/>
  <c r="O68" i="32"/>
  <c r="O69" i="32"/>
  <c r="O70" i="32"/>
  <c r="O71" i="32"/>
  <c r="O72" i="32"/>
  <c r="O73" i="32"/>
  <c r="O74" i="32"/>
  <c r="O75" i="32"/>
  <c r="O76" i="32"/>
  <c r="O99" i="32"/>
  <c r="O100" i="32"/>
  <c r="O101" i="32"/>
  <c r="O102" i="32"/>
  <c r="O103" i="32"/>
  <c r="O104" i="32"/>
  <c r="O105" i="32"/>
  <c r="O106" i="32"/>
  <c r="O107" i="32"/>
  <c r="O108" i="32"/>
  <c r="O109" i="32"/>
  <c r="O110" i="32"/>
  <c r="O111" i="32"/>
  <c r="O112" i="32"/>
  <c r="O113" i="32"/>
  <c r="O114" i="32"/>
  <c r="O115" i="32"/>
  <c r="O116" i="32"/>
  <c r="O117" i="32"/>
  <c r="O118" i="32"/>
  <c r="O119" i="32"/>
  <c r="O120" i="32"/>
  <c r="O121" i="32"/>
  <c r="O122" i="32"/>
  <c r="O123" i="32"/>
  <c r="O124" i="32"/>
  <c r="O125" i="32"/>
  <c r="O126" i="32"/>
  <c r="O127" i="32"/>
  <c r="O128" i="32"/>
  <c r="O129" i="32"/>
  <c r="O130" i="32"/>
  <c r="O131" i="32"/>
  <c r="O132" i="32"/>
  <c r="O133" i="32"/>
  <c r="O134" i="32"/>
  <c r="O135" i="32"/>
  <c r="O136" i="32"/>
  <c r="O137" i="32"/>
  <c r="O138" i="32"/>
  <c r="O139" i="32"/>
  <c r="O140" i="32"/>
  <c r="O141" i="32"/>
  <c r="O142" i="32"/>
  <c r="O11" i="32"/>
  <c r="N11" i="26" l="1"/>
  <c r="N12" i="26"/>
  <c r="N13" i="26"/>
  <c r="N14" i="26"/>
  <c r="N15" i="26"/>
  <c r="N16" i="26"/>
  <c r="N17" i="26"/>
  <c r="N18" i="26"/>
  <c r="N19" i="26"/>
  <c r="N20" i="26"/>
  <c r="N21" i="26"/>
  <c r="N25" i="26"/>
  <c r="N26" i="26"/>
  <c r="N27" i="26"/>
  <c r="N28" i="26"/>
  <c r="N29" i="26"/>
  <c r="N30" i="26"/>
  <c r="N31" i="26"/>
  <c r="N32" i="26"/>
  <c r="N22" i="26"/>
  <c r="N23" i="26"/>
  <c r="N24" i="26"/>
  <c r="N33" i="26"/>
  <c r="N36" i="26"/>
  <c r="N37" i="26"/>
  <c r="N38" i="26"/>
  <c r="N39" i="26"/>
  <c r="N40" i="26"/>
  <c r="N41" i="26"/>
  <c r="N42" i="26"/>
  <c r="N43" i="26"/>
  <c r="N34" i="26"/>
  <c r="N35" i="26"/>
  <c r="N44" i="26"/>
  <c r="N45" i="26"/>
  <c r="N46" i="26"/>
  <c r="N47" i="26"/>
  <c r="N48" i="26"/>
  <c r="N49" i="26"/>
  <c r="N50" i="26"/>
  <c r="N51" i="26"/>
  <c r="N52" i="26"/>
  <c r="N53" i="26"/>
  <c r="N54" i="26"/>
  <c r="N55" i="26"/>
  <c r="N56" i="26"/>
  <c r="N57" i="26"/>
  <c r="N58" i="26"/>
  <c r="N59" i="26"/>
  <c r="N60" i="26"/>
  <c r="N61" i="26"/>
  <c r="N62" i="26"/>
  <c r="N63" i="26"/>
  <c r="N64" i="26"/>
  <c r="N67" i="26"/>
  <c r="N68" i="26"/>
  <c r="N69" i="26"/>
  <c r="N70" i="26"/>
  <c r="N71" i="26"/>
  <c r="N72" i="26"/>
  <c r="N73" i="26"/>
  <c r="N74" i="26"/>
  <c r="N65" i="26"/>
  <c r="N66" i="26"/>
  <c r="N75" i="26"/>
  <c r="N76" i="26"/>
  <c r="N77" i="26"/>
  <c r="N78" i="26"/>
  <c r="N79" i="26"/>
  <c r="N80" i="26"/>
  <c r="N81" i="26"/>
  <c r="N82" i="26"/>
  <c r="N83" i="26"/>
  <c r="N84" i="26"/>
  <c r="N85" i="26"/>
  <c r="N86" i="26"/>
  <c r="N87" i="26"/>
  <c r="N88" i="26"/>
  <c r="N89" i="26"/>
  <c r="N90" i="26"/>
  <c r="N91" i="26"/>
  <c r="N92" i="26"/>
  <c r="N93" i="26"/>
  <c r="N94" i="26"/>
  <c r="N95" i="26"/>
  <c r="N96" i="26"/>
  <c r="N97" i="26"/>
  <c r="N98" i="26"/>
  <c r="N99" i="26"/>
  <c r="N100" i="26"/>
  <c r="N101" i="26"/>
  <c r="N102" i="26"/>
  <c r="N103" i="26"/>
  <c r="N104" i="26"/>
  <c r="N105" i="26"/>
  <c r="N119" i="26"/>
  <c r="N122" i="26"/>
  <c r="N123" i="26"/>
  <c r="N124" i="26"/>
  <c r="N125" i="26"/>
  <c r="N126" i="26"/>
  <c r="N127" i="26"/>
  <c r="N128" i="26"/>
  <c r="N129" i="26"/>
  <c r="N120" i="26"/>
  <c r="N121" i="26"/>
  <c r="N139" i="26"/>
  <c r="N140" i="26"/>
  <c r="M11" i="26"/>
  <c r="M12" i="26"/>
  <c r="M13" i="26"/>
  <c r="M14" i="26"/>
  <c r="M15" i="26"/>
  <c r="M16" i="26"/>
  <c r="M17" i="26"/>
  <c r="M18" i="26"/>
  <c r="M19" i="26"/>
  <c r="M20" i="26"/>
  <c r="M21" i="26"/>
  <c r="M25" i="26"/>
  <c r="M26" i="26"/>
  <c r="M27" i="26"/>
  <c r="M28" i="26"/>
  <c r="M29" i="26"/>
  <c r="M30" i="26"/>
  <c r="M31" i="26"/>
  <c r="M32" i="26"/>
  <c r="M22" i="26"/>
  <c r="M23" i="26"/>
  <c r="M24" i="26"/>
  <c r="M33" i="26"/>
  <c r="M36" i="26"/>
  <c r="M37" i="26"/>
  <c r="M38" i="26"/>
  <c r="M39" i="26"/>
  <c r="M40" i="26"/>
  <c r="M41" i="26"/>
  <c r="M42" i="26"/>
  <c r="M43" i="26"/>
  <c r="M34" i="26"/>
  <c r="M35" i="26"/>
  <c r="M44" i="26"/>
  <c r="M45" i="26"/>
  <c r="M46" i="26"/>
  <c r="M47" i="26"/>
  <c r="M48" i="26"/>
  <c r="M49" i="26"/>
  <c r="M50" i="26"/>
  <c r="M51" i="26"/>
  <c r="M52" i="26"/>
  <c r="M53" i="26"/>
  <c r="M54" i="26"/>
  <c r="M55" i="26"/>
  <c r="M56" i="26"/>
  <c r="M57" i="26"/>
  <c r="M58" i="26"/>
  <c r="M59" i="26"/>
  <c r="M60" i="26"/>
  <c r="M61" i="26"/>
  <c r="M62" i="26"/>
  <c r="M63" i="26"/>
  <c r="M64" i="26"/>
  <c r="M67" i="26"/>
  <c r="M68" i="26"/>
  <c r="M69" i="26"/>
  <c r="M70" i="26"/>
  <c r="M71" i="26"/>
  <c r="M72" i="26"/>
  <c r="M73" i="26"/>
  <c r="M74" i="26"/>
  <c r="M65" i="26"/>
  <c r="M66" i="26"/>
  <c r="M75" i="26"/>
  <c r="M76" i="26"/>
  <c r="M77" i="26"/>
  <c r="M78" i="26"/>
  <c r="M79" i="26"/>
  <c r="M80" i="26"/>
  <c r="M81" i="26"/>
  <c r="M82" i="26"/>
  <c r="M83" i="26"/>
  <c r="M84" i="26"/>
  <c r="M85" i="26"/>
  <c r="M86" i="26"/>
  <c r="M87" i="26"/>
  <c r="M88" i="26"/>
  <c r="M89" i="26"/>
  <c r="M90" i="26"/>
  <c r="M91" i="26"/>
  <c r="M92" i="26"/>
  <c r="M93" i="26"/>
  <c r="M94" i="26"/>
  <c r="M95" i="26"/>
  <c r="M96" i="26"/>
  <c r="M97" i="26"/>
  <c r="M98" i="26"/>
  <c r="M99" i="26"/>
  <c r="M100" i="26"/>
  <c r="M101" i="26"/>
  <c r="M102" i="26"/>
  <c r="M103" i="26"/>
  <c r="M104" i="26"/>
  <c r="M105" i="26"/>
  <c r="M119" i="26"/>
  <c r="M122" i="26"/>
  <c r="M123" i="26"/>
  <c r="M124" i="26"/>
  <c r="M125" i="26"/>
  <c r="M126" i="26"/>
  <c r="M127" i="26"/>
  <c r="M128" i="26"/>
  <c r="M129" i="26"/>
  <c r="M120" i="26"/>
  <c r="M121" i="26"/>
  <c r="M139" i="26"/>
  <c r="M140" i="26"/>
  <c r="L11" i="26"/>
  <c r="L12" i="26"/>
  <c r="L13" i="26"/>
  <c r="L14" i="26"/>
  <c r="L15" i="26"/>
  <c r="L16" i="26"/>
  <c r="L17" i="26"/>
  <c r="L18" i="26"/>
  <c r="L19" i="26"/>
  <c r="L20" i="26"/>
  <c r="L21" i="26"/>
  <c r="L25" i="26"/>
  <c r="L26" i="26"/>
  <c r="L27" i="26"/>
  <c r="L28" i="26"/>
  <c r="L29" i="26"/>
  <c r="L30" i="26"/>
  <c r="L31" i="26"/>
  <c r="L32" i="26"/>
  <c r="L22" i="26"/>
  <c r="L23" i="26"/>
  <c r="L24" i="26"/>
  <c r="L33" i="26"/>
  <c r="L36" i="26"/>
  <c r="L37" i="26"/>
  <c r="L38" i="26"/>
  <c r="L39" i="26"/>
  <c r="L40" i="26"/>
  <c r="L41" i="26"/>
  <c r="L42" i="26"/>
  <c r="L43" i="26"/>
  <c r="L34" i="26"/>
  <c r="L35" i="26"/>
  <c r="L44" i="26"/>
  <c r="L45" i="26"/>
  <c r="L46" i="26"/>
  <c r="L47" i="26"/>
  <c r="L48" i="26"/>
  <c r="L49" i="26"/>
  <c r="L50" i="26"/>
  <c r="L51" i="26"/>
  <c r="L52" i="26"/>
  <c r="L53" i="26"/>
  <c r="L54" i="26"/>
  <c r="L55" i="26"/>
  <c r="L56" i="26"/>
  <c r="L57" i="26"/>
  <c r="L58" i="26"/>
  <c r="L59" i="26"/>
  <c r="L60" i="26"/>
  <c r="L61" i="26"/>
  <c r="L62" i="26"/>
  <c r="L63" i="26"/>
  <c r="L64" i="26"/>
  <c r="L67" i="26"/>
  <c r="L68" i="26"/>
  <c r="L69" i="26"/>
  <c r="L70" i="26"/>
  <c r="L71" i="26"/>
  <c r="L72" i="26"/>
  <c r="L73" i="26"/>
  <c r="L74" i="26"/>
  <c r="L65" i="26"/>
  <c r="L66" i="26"/>
  <c r="L75" i="26"/>
  <c r="L76" i="26"/>
  <c r="L77" i="26"/>
  <c r="L78" i="26"/>
  <c r="L79" i="26"/>
  <c r="L80" i="26"/>
  <c r="L81" i="26"/>
  <c r="L82" i="26"/>
  <c r="L83" i="26"/>
  <c r="L84" i="26"/>
  <c r="L85" i="26"/>
  <c r="L86" i="26"/>
  <c r="L87" i="26"/>
  <c r="L88" i="26"/>
  <c r="L89" i="26"/>
  <c r="L90" i="26"/>
  <c r="L91" i="26"/>
  <c r="L92" i="26"/>
  <c r="L93" i="26"/>
  <c r="L94" i="26"/>
  <c r="L95" i="26"/>
  <c r="L96" i="26"/>
  <c r="L97" i="26"/>
  <c r="L98" i="26"/>
  <c r="L99" i="26"/>
  <c r="L100" i="26"/>
  <c r="L101" i="26"/>
  <c r="L102" i="26"/>
  <c r="L103" i="26"/>
  <c r="L104" i="26"/>
  <c r="L105" i="26"/>
  <c r="L119" i="26"/>
  <c r="L122" i="26"/>
  <c r="L123" i="26"/>
  <c r="L124" i="26"/>
  <c r="L125" i="26"/>
  <c r="L126" i="26"/>
  <c r="L127" i="26"/>
  <c r="L128" i="26"/>
  <c r="L129" i="26"/>
  <c r="L120" i="26"/>
  <c r="L121" i="26"/>
  <c r="L139" i="26"/>
  <c r="L140" i="26"/>
  <c r="K11" i="26"/>
  <c r="K12" i="26"/>
  <c r="K13" i="26"/>
  <c r="K14" i="26"/>
  <c r="K15" i="26"/>
  <c r="K16" i="26"/>
  <c r="K17" i="26"/>
  <c r="K18" i="26"/>
  <c r="K19" i="26"/>
  <c r="K20" i="26"/>
  <c r="K21" i="26"/>
  <c r="K25" i="26"/>
  <c r="K26" i="26"/>
  <c r="K27" i="26"/>
  <c r="K28" i="26"/>
  <c r="K29" i="26"/>
  <c r="K30" i="26"/>
  <c r="K31" i="26"/>
  <c r="K32" i="26"/>
  <c r="K22" i="26"/>
  <c r="K23" i="26"/>
  <c r="K24" i="26"/>
  <c r="K33" i="26"/>
  <c r="K36" i="26"/>
  <c r="K37" i="26"/>
  <c r="K38" i="26"/>
  <c r="K39" i="26"/>
  <c r="K40" i="26"/>
  <c r="K41" i="26"/>
  <c r="K42" i="26"/>
  <c r="K43" i="26"/>
  <c r="K34" i="26"/>
  <c r="K35" i="26"/>
  <c r="K44" i="26"/>
  <c r="K45" i="26"/>
  <c r="K46" i="26"/>
  <c r="K47" i="26"/>
  <c r="K48" i="26"/>
  <c r="K49" i="26"/>
  <c r="K50" i="26"/>
  <c r="K51" i="26"/>
  <c r="K52" i="26"/>
  <c r="K53" i="26"/>
  <c r="K54" i="26"/>
  <c r="K55" i="26"/>
  <c r="K56" i="26"/>
  <c r="K57" i="26"/>
  <c r="K58" i="26"/>
  <c r="K59" i="26"/>
  <c r="K60" i="26"/>
  <c r="K61" i="26"/>
  <c r="K62" i="26"/>
  <c r="K63" i="26"/>
  <c r="K64" i="26"/>
  <c r="K67" i="26"/>
  <c r="K68" i="26"/>
  <c r="K69" i="26"/>
  <c r="K70" i="26"/>
  <c r="K71" i="26"/>
  <c r="K72" i="26"/>
  <c r="K73" i="26"/>
  <c r="K74" i="26"/>
  <c r="K65" i="26"/>
  <c r="K66" i="26"/>
  <c r="K75" i="26"/>
  <c r="K76" i="26"/>
  <c r="K77" i="26"/>
  <c r="K78" i="26"/>
  <c r="K79" i="26"/>
  <c r="K80" i="26"/>
  <c r="K81" i="26"/>
  <c r="K82" i="26"/>
  <c r="K83" i="26"/>
  <c r="K84" i="26"/>
  <c r="K85" i="26"/>
  <c r="K86" i="26"/>
  <c r="K87" i="26"/>
  <c r="K88" i="26"/>
  <c r="K89" i="26"/>
  <c r="K90" i="26"/>
  <c r="K91" i="26"/>
  <c r="K92" i="26"/>
  <c r="K93" i="26"/>
  <c r="K94" i="26"/>
  <c r="K95" i="26"/>
  <c r="K96" i="26"/>
  <c r="K97" i="26"/>
  <c r="K98" i="26"/>
  <c r="K99" i="26"/>
  <c r="K100" i="26"/>
  <c r="K101" i="26"/>
  <c r="K102" i="26"/>
  <c r="K103" i="26"/>
  <c r="K104" i="26"/>
  <c r="K105" i="26"/>
  <c r="K119" i="26"/>
  <c r="K122" i="26"/>
  <c r="K123" i="26"/>
  <c r="K124" i="26"/>
  <c r="K125" i="26"/>
  <c r="K126" i="26"/>
  <c r="K127" i="26"/>
  <c r="K128" i="26"/>
  <c r="K129" i="26"/>
  <c r="K120" i="26"/>
  <c r="K121" i="26"/>
  <c r="K139" i="26"/>
  <c r="K140" i="26"/>
  <c r="G13" i="28"/>
  <c r="G14" i="28"/>
  <c r="G15" i="28"/>
  <c r="G16" i="28"/>
  <c r="G12" i="28"/>
  <c r="G11" i="28"/>
  <c r="F13" i="28"/>
  <c r="AN11" i="32" s="1"/>
  <c r="F14" i="28"/>
  <c r="F15" i="28"/>
  <c r="F12" i="28"/>
  <c r="F11" i="28"/>
  <c r="F16" i="28"/>
  <c r="E13" i="28"/>
  <c r="E14" i="28"/>
  <c r="E15" i="28"/>
  <c r="E16" i="28"/>
  <c r="E12" i="28"/>
  <c r="E11" i="28"/>
  <c r="D11" i="28"/>
  <c r="D12" i="28"/>
  <c r="D13" i="28"/>
  <c r="D14" i="28"/>
  <c r="D15" i="28"/>
  <c r="D16" i="28"/>
  <c r="I9" i="18"/>
  <c r="E35" i="28"/>
  <c r="G11" i="13"/>
  <c r="G13" i="13"/>
  <c r="G14" i="13"/>
  <c r="G15" i="13"/>
  <c r="E35" i="13"/>
  <c r="F14" i="13"/>
  <c r="F15" i="13"/>
  <c r="F16" i="13"/>
  <c r="D16" i="13"/>
  <c r="D15" i="13"/>
  <c r="D14" i="13"/>
  <c r="D13" i="13"/>
  <c r="F11" i="13"/>
  <c r="R80" i="32" l="1"/>
  <c r="R91" i="32"/>
  <c r="R88" i="32"/>
  <c r="R87" i="32"/>
  <c r="R98" i="32"/>
  <c r="R97" i="32"/>
  <c r="R85" i="32"/>
  <c r="R84" i="32"/>
  <c r="R90" i="32"/>
  <c r="R89" i="32"/>
  <c r="R86" i="32"/>
  <c r="R96" i="32"/>
  <c r="R78" i="32"/>
  <c r="R95" i="32"/>
  <c r="R83" i="32"/>
  <c r="R94" i="32"/>
  <c r="R82" i="32"/>
  <c r="R93" i="32"/>
  <c r="R81" i="32"/>
  <c r="R92" i="32"/>
  <c r="R79" i="32"/>
  <c r="R77" i="32"/>
  <c r="P81" i="32"/>
  <c r="P89" i="32"/>
  <c r="P97" i="32"/>
  <c r="P82" i="32"/>
  <c r="P90" i="32"/>
  <c r="P98" i="32"/>
  <c r="P91" i="32"/>
  <c r="P86" i="32"/>
  <c r="P83" i="32"/>
  <c r="P84" i="32"/>
  <c r="P92" i="32"/>
  <c r="P77" i="32"/>
  <c r="P85" i="32"/>
  <c r="P94" i="32"/>
  <c r="P93" i="32"/>
  <c r="P78" i="32"/>
  <c r="P80" i="32"/>
  <c r="P87" i="32"/>
  <c r="P88" i="32"/>
  <c r="P79" i="32"/>
  <c r="P95" i="32"/>
  <c r="P96" i="32"/>
  <c r="Q79" i="32"/>
  <c r="Q87" i="32"/>
  <c r="Q95" i="32"/>
  <c r="Q80" i="32"/>
  <c r="Q88" i="32"/>
  <c r="Q96" i="32"/>
  <c r="Q77" i="32"/>
  <c r="Q89" i="32"/>
  <c r="Q78" i="32"/>
  <c r="Q90" i="32"/>
  <c r="Q94" i="32"/>
  <c r="Q81" i="32"/>
  <c r="Q91" i="32"/>
  <c r="Q82" i="32"/>
  <c r="Q92" i="32"/>
  <c r="Q83" i="32"/>
  <c r="Q93" i="32"/>
  <c r="Q84" i="32"/>
  <c r="Q86" i="32"/>
  <c r="Q85" i="32"/>
  <c r="Q97" i="32"/>
  <c r="Q98" i="32"/>
  <c r="O80" i="32"/>
  <c r="O88" i="32"/>
  <c r="O96" i="32"/>
  <c r="O89" i="32"/>
  <c r="O97" i="32"/>
  <c r="O91" i="32"/>
  <c r="O92" i="32"/>
  <c r="O81" i="32"/>
  <c r="O84" i="32"/>
  <c r="O82" i="32"/>
  <c r="O90" i="32"/>
  <c r="O98" i="32"/>
  <c r="O83" i="32"/>
  <c r="O94" i="32"/>
  <c r="O77" i="32"/>
  <c r="O95" i="32"/>
  <c r="O78" i="32"/>
  <c r="O93" i="32"/>
  <c r="O79" i="32"/>
  <c r="O86" i="32"/>
  <c r="O85" i="32"/>
  <c r="O87" i="32"/>
  <c r="K112" i="26" l="1"/>
  <c r="K136" i="26"/>
  <c r="K113" i="26"/>
  <c r="K137" i="26"/>
  <c r="K106" i="26"/>
  <c r="K114" i="26"/>
  <c r="K130" i="26"/>
  <c r="K138" i="26"/>
  <c r="K107" i="26"/>
  <c r="K115" i="26"/>
  <c r="K131" i="26"/>
  <c r="K108" i="26"/>
  <c r="K116" i="26"/>
  <c r="K132" i="26"/>
  <c r="K109" i="26"/>
  <c r="K117" i="26"/>
  <c r="K133" i="26"/>
  <c r="K110" i="26"/>
  <c r="K118" i="26"/>
  <c r="K134" i="26"/>
  <c r="K111" i="26"/>
  <c r="K135" i="26"/>
  <c r="M110" i="26"/>
  <c r="M118" i="26"/>
  <c r="M134" i="26"/>
  <c r="M111" i="26"/>
  <c r="M135" i="26"/>
  <c r="M112" i="26"/>
  <c r="M136" i="26"/>
  <c r="M113" i="26"/>
  <c r="M137" i="26"/>
  <c r="M106" i="26"/>
  <c r="M114" i="26"/>
  <c r="M130" i="26"/>
  <c r="M138" i="26"/>
  <c r="M107" i="26"/>
  <c r="M115" i="26"/>
  <c r="M131" i="26"/>
  <c r="M108" i="26"/>
  <c r="M116" i="26"/>
  <c r="M132" i="26"/>
  <c r="M109" i="26"/>
  <c r="M117" i="26"/>
  <c r="M133" i="26"/>
  <c r="N112" i="26"/>
  <c r="N136" i="26"/>
  <c r="N113" i="26"/>
  <c r="N137" i="26"/>
  <c r="N106" i="26"/>
  <c r="N114" i="26"/>
  <c r="N130" i="26"/>
  <c r="N138" i="26"/>
  <c r="N107" i="26"/>
  <c r="N115" i="26"/>
  <c r="N131" i="26"/>
  <c r="N108" i="26"/>
  <c r="N116" i="26"/>
  <c r="N132" i="26"/>
  <c r="N109" i="26"/>
  <c r="N117" i="26"/>
  <c r="N133" i="26"/>
  <c r="N110" i="26"/>
  <c r="N118" i="26"/>
  <c r="N134" i="26"/>
  <c r="N111" i="26"/>
  <c r="N135" i="26"/>
  <c r="L116" i="26"/>
  <c r="L114" i="26"/>
  <c r="L117" i="26"/>
  <c r="L106" i="26"/>
  <c r="L118" i="26"/>
  <c r="L130" i="26"/>
  <c r="L107" i="26"/>
  <c r="L131" i="26"/>
  <c r="L108" i="26"/>
  <c r="L132" i="26"/>
  <c r="L109" i="26"/>
  <c r="L133" i="26"/>
  <c r="L110" i="26"/>
  <c r="L134" i="26"/>
  <c r="L138" i="26"/>
  <c r="L111" i="26"/>
  <c r="L135" i="26"/>
  <c r="L112" i="26"/>
  <c r="L136" i="26"/>
  <c r="L113" i="26"/>
  <c r="L137" i="26"/>
  <c r="L115" i="26"/>
  <c r="AL20" i="32" l="1"/>
  <c r="AN20" i="32" s="1"/>
  <c r="AL19" i="32"/>
  <c r="AN19" i="32" s="1"/>
  <c r="AL18" i="32"/>
  <c r="AN18" i="32" s="1"/>
  <c r="AL17" i="32"/>
  <c r="AN17" i="32" s="1"/>
  <c r="AL16" i="32"/>
  <c r="AN16" i="32" s="1"/>
  <c r="AL15" i="32"/>
  <c r="AN15" i="32" s="1"/>
  <c r="AL14" i="32"/>
  <c r="AN14" i="32" s="1"/>
  <c r="AL13" i="32"/>
  <c r="AN13" i="32" s="1"/>
  <c r="AL12" i="32"/>
  <c r="AN12" i="32" s="1"/>
  <c r="D55" i="6"/>
  <c r="E55" i="6" s="1"/>
  <c r="D54" i="6"/>
  <c r="E54" i="6" s="1"/>
  <c r="D53" i="6"/>
  <c r="E53" i="6" s="1"/>
  <c r="I68" i="26" s="1"/>
  <c r="J68" i="26" s="1"/>
  <c r="D52" i="6"/>
  <c r="E52" i="6" s="1"/>
  <c r="I82" i="26" s="1"/>
  <c r="J82" i="26" s="1"/>
  <c r="O82" i="26" s="1"/>
  <c r="D51" i="6"/>
  <c r="E51" i="6" s="1"/>
  <c r="D50" i="6"/>
  <c r="E50" i="6" s="1"/>
  <c r="I123" i="26" s="1"/>
  <c r="I60" i="26"/>
  <c r="J60" i="26" s="1"/>
  <c r="I52" i="26"/>
  <c r="AH20" i="26"/>
  <c r="AJ20" i="26" s="1"/>
  <c r="AH19" i="26"/>
  <c r="AJ19" i="26" s="1"/>
  <c r="AH18" i="26"/>
  <c r="AJ18" i="26" s="1"/>
  <c r="AH17" i="26"/>
  <c r="AJ17" i="26" s="1"/>
  <c r="AH16" i="26"/>
  <c r="AJ16" i="26" s="1"/>
  <c r="I16" i="26"/>
  <c r="J16" i="26" s="1"/>
  <c r="AH15" i="26"/>
  <c r="AJ15" i="26" s="1"/>
  <c r="AH14" i="26"/>
  <c r="AJ14" i="26" s="1"/>
  <c r="AH13" i="26"/>
  <c r="AJ13" i="26" s="1"/>
  <c r="AH12" i="26"/>
  <c r="AJ12" i="26" s="1"/>
  <c r="AH11" i="26"/>
  <c r="AJ11" i="26" s="1"/>
  <c r="C41" i="6"/>
  <c r="I58" i="26" l="1"/>
  <c r="W58" i="26" s="1"/>
  <c r="I42" i="26"/>
  <c r="J42" i="26" s="1"/>
  <c r="O42" i="26" s="1"/>
  <c r="I34" i="26"/>
  <c r="J34" i="26" s="1"/>
  <c r="O34" i="26" s="1"/>
  <c r="I65" i="26"/>
  <c r="J65" i="26" s="1"/>
  <c r="O65" i="26" s="1"/>
  <c r="I81" i="26"/>
  <c r="J81" i="26" s="1"/>
  <c r="O81" i="26" s="1"/>
  <c r="I87" i="26"/>
  <c r="W87" i="26" s="1"/>
  <c r="AB87" i="26" s="1"/>
  <c r="I66" i="26"/>
  <c r="J66" i="26" s="1"/>
  <c r="O66" i="26" s="1"/>
  <c r="I76" i="26"/>
  <c r="J76" i="26" s="1"/>
  <c r="O76" i="26" s="1"/>
  <c r="I98" i="26"/>
  <c r="J98" i="26" s="1"/>
  <c r="O98" i="26" s="1"/>
  <c r="I99" i="26"/>
  <c r="W99" i="26" s="1"/>
  <c r="AB99" i="26" s="1"/>
  <c r="I100" i="26"/>
  <c r="J100" i="26" s="1"/>
  <c r="O100" i="26" s="1"/>
  <c r="I57" i="26"/>
  <c r="J57" i="26" s="1"/>
  <c r="O57" i="26" s="1"/>
  <c r="M14" i="32"/>
  <c r="M12" i="32"/>
  <c r="I67" i="26"/>
  <c r="J67" i="26" s="1"/>
  <c r="O67" i="26" s="1"/>
  <c r="M42" i="32"/>
  <c r="M50" i="32"/>
  <c r="M43" i="32"/>
  <c r="M51" i="32"/>
  <c r="M48" i="32"/>
  <c r="M49" i="32"/>
  <c r="M40" i="32"/>
  <c r="M52" i="32"/>
  <c r="M41" i="32"/>
  <c r="M53" i="32"/>
  <c r="M44" i="32"/>
  <c r="M54" i="32"/>
  <c r="M45" i="32"/>
  <c r="M46" i="32"/>
  <c r="M47" i="32"/>
  <c r="I22" i="26"/>
  <c r="J22" i="26" s="1"/>
  <c r="O22" i="26" s="1"/>
  <c r="I25" i="26"/>
  <c r="J25" i="26" s="1"/>
  <c r="O25" i="26" s="1"/>
  <c r="I92" i="26"/>
  <c r="J92" i="26" s="1"/>
  <c r="O92" i="26" s="1"/>
  <c r="I31" i="26"/>
  <c r="J31" i="26" s="1"/>
  <c r="O31" i="26" s="1"/>
  <c r="I91" i="26"/>
  <c r="W91" i="26" s="1"/>
  <c r="AB91" i="26" s="1"/>
  <c r="I30" i="26"/>
  <c r="W30" i="26" s="1"/>
  <c r="AB30" i="26" s="1"/>
  <c r="I32" i="26"/>
  <c r="W32" i="26" s="1"/>
  <c r="AB32" i="26" s="1"/>
  <c r="I90" i="26"/>
  <c r="J90" i="26" s="1"/>
  <c r="O90" i="26" s="1"/>
  <c r="I23" i="26"/>
  <c r="W23" i="26" s="1"/>
  <c r="AB23" i="26" s="1"/>
  <c r="I26" i="26"/>
  <c r="W26" i="26" s="1"/>
  <c r="AB26" i="26" s="1"/>
  <c r="I21" i="26"/>
  <c r="W21" i="26" s="1"/>
  <c r="I89" i="26"/>
  <c r="J89" i="26" s="1"/>
  <c r="O89" i="26" s="1"/>
  <c r="I28" i="26"/>
  <c r="J28" i="26" s="1"/>
  <c r="O28" i="26" s="1"/>
  <c r="I88" i="26"/>
  <c r="J88" i="26" s="1"/>
  <c r="O88" i="26" s="1"/>
  <c r="I27" i="26"/>
  <c r="J27" i="26" s="1"/>
  <c r="O27" i="26" s="1"/>
  <c r="I14" i="26"/>
  <c r="W14" i="26" s="1"/>
  <c r="AB14" i="26" s="1"/>
  <c r="I18" i="26"/>
  <c r="J18" i="26" s="1"/>
  <c r="O18" i="26" s="1"/>
  <c r="I33" i="26"/>
  <c r="W33" i="26" s="1"/>
  <c r="AB33" i="26" s="1"/>
  <c r="W68" i="26"/>
  <c r="AB68" i="26" s="1"/>
  <c r="I127" i="26"/>
  <c r="J127" i="26" s="1"/>
  <c r="O127" i="26" s="1"/>
  <c r="M106" i="32"/>
  <c r="M114" i="32"/>
  <c r="M122" i="32"/>
  <c r="M99" i="32"/>
  <c r="M107" i="32"/>
  <c r="M115" i="32"/>
  <c r="M123" i="32"/>
  <c r="M102" i="32"/>
  <c r="M112" i="32"/>
  <c r="M124" i="32"/>
  <c r="M103" i="32"/>
  <c r="M113" i="32"/>
  <c r="M125" i="32"/>
  <c r="M104" i="32"/>
  <c r="M116" i="32"/>
  <c r="M126" i="32"/>
  <c r="M105" i="32"/>
  <c r="M117" i="32"/>
  <c r="M127" i="32"/>
  <c r="M108" i="32"/>
  <c r="M119" i="32"/>
  <c r="M118" i="32"/>
  <c r="M109" i="32"/>
  <c r="M111" i="32"/>
  <c r="M120" i="32"/>
  <c r="M121" i="32"/>
  <c r="M101" i="32"/>
  <c r="M110" i="32"/>
  <c r="M100" i="32"/>
  <c r="M58" i="32"/>
  <c r="M66" i="32"/>
  <c r="M74" i="32"/>
  <c r="M59" i="32"/>
  <c r="M67" i="32"/>
  <c r="M75" i="32"/>
  <c r="M60" i="32"/>
  <c r="M70" i="32"/>
  <c r="M61" i="32"/>
  <c r="M71" i="32"/>
  <c r="M55" i="32"/>
  <c r="M62" i="32"/>
  <c r="M72" i="32"/>
  <c r="M65" i="32"/>
  <c r="M63" i="32"/>
  <c r="M73" i="32"/>
  <c r="M64" i="32"/>
  <c r="M76" i="32"/>
  <c r="M69" i="32"/>
  <c r="M57" i="32"/>
  <c r="M56" i="32"/>
  <c r="M68" i="32"/>
  <c r="I36" i="26"/>
  <c r="I35" i="26"/>
  <c r="W35" i="26" s="1"/>
  <c r="AB35" i="26" s="1"/>
  <c r="I70" i="26"/>
  <c r="J70" i="26" s="1"/>
  <c r="O70" i="26" s="1"/>
  <c r="I83" i="26"/>
  <c r="W83" i="26" s="1"/>
  <c r="AB83" i="26" s="1"/>
  <c r="I101" i="26"/>
  <c r="W101" i="26" s="1"/>
  <c r="AB101" i="26" s="1"/>
  <c r="I129" i="26"/>
  <c r="J129" i="26" s="1"/>
  <c r="O129" i="26" s="1"/>
  <c r="M130" i="32"/>
  <c r="M138" i="32"/>
  <c r="M131" i="32"/>
  <c r="M139" i="32"/>
  <c r="M134" i="32"/>
  <c r="M135" i="32"/>
  <c r="M129" i="32"/>
  <c r="M136" i="32"/>
  <c r="M141" i="32"/>
  <c r="M137" i="32"/>
  <c r="M128" i="32"/>
  <c r="M140" i="32"/>
  <c r="M132" i="32"/>
  <c r="M142" i="32"/>
  <c r="M133" i="32"/>
  <c r="I11" i="26"/>
  <c r="J11" i="26" s="1"/>
  <c r="O11" i="26" s="1"/>
  <c r="I15" i="26"/>
  <c r="W15" i="26" s="1"/>
  <c r="AB15" i="26" s="1"/>
  <c r="I29" i="26"/>
  <c r="J29" i="26" s="1"/>
  <c r="O29" i="26" s="1"/>
  <c r="I73" i="26"/>
  <c r="W73" i="26" s="1"/>
  <c r="AB73" i="26" s="1"/>
  <c r="I84" i="26"/>
  <c r="J84" i="26" s="1"/>
  <c r="O84" i="26" s="1"/>
  <c r="I104" i="26"/>
  <c r="J104" i="26" s="1"/>
  <c r="O104" i="26" s="1"/>
  <c r="C49" i="6"/>
  <c r="D49" i="6" s="1"/>
  <c r="E49" i="6" s="1"/>
  <c r="I134" i="26" s="1"/>
  <c r="I38" i="26"/>
  <c r="J38" i="26" s="1"/>
  <c r="O38" i="26" s="1"/>
  <c r="I85" i="26"/>
  <c r="W85" i="26" s="1"/>
  <c r="AB85" i="26" s="1"/>
  <c r="I12" i="26"/>
  <c r="J12" i="26" s="1"/>
  <c r="O12" i="26" s="1"/>
  <c r="I39" i="26"/>
  <c r="W39" i="26" s="1"/>
  <c r="AB39" i="26" s="1"/>
  <c r="I86" i="26"/>
  <c r="J86" i="26" s="1"/>
  <c r="O86" i="26" s="1"/>
  <c r="M18" i="32"/>
  <c r="M26" i="32"/>
  <c r="M34" i="32"/>
  <c r="M19" i="32"/>
  <c r="M27" i="32"/>
  <c r="M35" i="32"/>
  <c r="M16" i="32"/>
  <c r="M28" i="32"/>
  <c r="M38" i="32"/>
  <c r="M17" i="32"/>
  <c r="M29" i="32"/>
  <c r="M39" i="32"/>
  <c r="M23" i="32"/>
  <c r="M20" i="32"/>
  <c r="M30" i="32"/>
  <c r="M21" i="32"/>
  <c r="M31" i="32"/>
  <c r="M22" i="32"/>
  <c r="M33" i="32"/>
  <c r="M32" i="32"/>
  <c r="M25" i="32"/>
  <c r="M36" i="32"/>
  <c r="M24" i="32"/>
  <c r="M37" i="32"/>
  <c r="M15" i="32"/>
  <c r="M13" i="32"/>
  <c r="M11" i="32"/>
  <c r="I13" i="26"/>
  <c r="W13" i="26" s="1"/>
  <c r="AB13" i="26" s="1"/>
  <c r="I17" i="26"/>
  <c r="J17" i="26" s="1"/>
  <c r="O17" i="26" s="1"/>
  <c r="I43" i="26"/>
  <c r="J43" i="26" s="1"/>
  <c r="O43" i="26" s="1"/>
  <c r="J58" i="26"/>
  <c r="O58" i="26" s="1"/>
  <c r="W82" i="26"/>
  <c r="AB82" i="26" s="1"/>
  <c r="AC82" i="26" s="1"/>
  <c r="O68" i="26"/>
  <c r="O16" i="26"/>
  <c r="AB21" i="26"/>
  <c r="W16" i="26"/>
  <c r="AB16" i="26" s="1"/>
  <c r="P82" i="26"/>
  <c r="J123" i="26"/>
  <c r="O123" i="26" s="1"/>
  <c r="W123" i="26"/>
  <c r="AB123" i="26" s="1"/>
  <c r="B41" i="6"/>
  <c r="I53" i="26"/>
  <c r="I45" i="26"/>
  <c r="I54" i="26"/>
  <c r="I46" i="26"/>
  <c r="I55" i="26"/>
  <c r="I47" i="26"/>
  <c r="I41" i="26"/>
  <c r="I56" i="26"/>
  <c r="I48" i="26"/>
  <c r="I51" i="26"/>
  <c r="I37" i="26"/>
  <c r="I44" i="26"/>
  <c r="I50" i="26"/>
  <c r="I49" i="26"/>
  <c r="J52" i="26"/>
  <c r="O52" i="26" s="1"/>
  <c r="W52" i="26"/>
  <c r="AB52" i="26" s="1"/>
  <c r="AB58" i="26"/>
  <c r="O60" i="26"/>
  <c r="I140" i="26"/>
  <c r="I93" i="26"/>
  <c r="I77" i="26"/>
  <c r="I71" i="26"/>
  <c r="I139" i="26"/>
  <c r="I102" i="26"/>
  <c r="I94" i="26"/>
  <c r="I72" i="26"/>
  <c r="I40" i="26"/>
  <c r="I103" i="26"/>
  <c r="I95" i="26"/>
  <c r="I79" i="26"/>
  <c r="I96" i="26"/>
  <c r="I80" i="26"/>
  <c r="I74" i="26"/>
  <c r="I64" i="26"/>
  <c r="I24" i="26"/>
  <c r="I105" i="26"/>
  <c r="I97" i="26"/>
  <c r="I69" i="26"/>
  <c r="I118" i="26"/>
  <c r="I110" i="26"/>
  <c r="I111" i="26"/>
  <c r="W60" i="26"/>
  <c r="AB60" i="26" s="1"/>
  <c r="I124" i="26"/>
  <c r="I61" i="26"/>
  <c r="I120" i="26"/>
  <c r="I78" i="26"/>
  <c r="I62" i="26"/>
  <c r="I20" i="26"/>
  <c r="I125" i="26"/>
  <c r="I119" i="26"/>
  <c r="I63" i="26"/>
  <c r="I19" i="26"/>
  <c r="I122" i="26"/>
  <c r="I121" i="26"/>
  <c r="I126" i="26"/>
  <c r="I128" i="26"/>
  <c r="I75" i="26"/>
  <c r="I59" i="26"/>
  <c r="W92" i="26"/>
  <c r="AB92" i="26" s="1"/>
  <c r="W65" i="26"/>
  <c r="AB65" i="26" s="1"/>
  <c r="W98" i="26" l="1"/>
  <c r="AB98" i="26" s="1"/>
  <c r="W89" i="26"/>
  <c r="AB89" i="26" s="1"/>
  <c r="W31" i="26"/>
  <c r="AB31" i="26" s="1"/>
  <c r="AC31" i="26" s="1"/>
  <c r="W34" i="26"/>
  <c r="AB34" i="26" s="1"/>
  <c r="AC34" i="26" s="1"/>
  <c r="W81" i="26"/>
  <c r="AB81" i="26" s="1"/>
  <c r="AC81" i="26" s="1"/>
  <c r="W66" i="26"/>
  <c r="AB66" i="26" s="1"/>
  <c r="AC66" i="26" s="1"/>
  <c r="W18" i="26"/>
  <c r="AB18" i="26" s="1"/>
  <c r="AC18" i="26" s="1"/>
  <c r="W28" i="26"/>
  <c r="AB28" i="26" s="1"/>
  <c r="AC28" i="26" s="1"/>
  <c r="J39" i="26"/>
  <c r="O39" i="26" s="1"/>
  <c r="AC39" i="26" s="1"/>
  <c r="W76" i="26"/>
  <c r="AB76" i="26" s="1"/>
  <c r="AC76" i="26" s="1"/>
  <c r="J87" i="26"/>
  <c r="O87" i="26" s="1"/>
  <c r="AC87" i="26" s="1"/>
  <c r="J14" i="26"/>
  <c r="O14" i="26" s="1"/>
  <c r="AC14" i="26" s="1"/>
  <c r="J35" i="26"/>
  <c r="O35" i="26" s="1"/>
  <c r="AC35" i="26" s="1"/>
  <c r="W42" i="26"/>
  <c r="AB42" i="26" s="1"/>
  <c r="AC42" i="26" s="1"/>
  <c r="J33" i="26"/>
  <c r="O33" i="26" s="1"/>
  <c r="P33" i="26" s="1"/>
  <c r="W11" i="26"/>
  <c r="AB11" i="26" s="1"/>
  <c r="AC11" i="26" s="1"/>
  <c r="J21" i="26"/>
  <c r="O21" i="26" s="1"/>
  <c r="P21" i="26" s="1"/>
  <c r="J99" i="26"/>
  <c r="O99" i="26" s="1"/>
  <c r="AC99" i="26" s="1"/>
  <c r="W127" i="26"/>
  <c r="AB127" i="26" s="1"/>
  <c r="AC127" i="26" s="1"/>
  <c r="W57" i="26"/>
  <c r="AB57" i="26" s="1"/>
  <c r="AC57" i="26" s="1"/>
  <c r="J73" i="26"/>
  <c r="O73" i="26" s="1"/>
  <c r="AC73" i="26" s="1"/>
  <c r="J83" i="26"/>
  <c r="O83" i="26" s="1"/>
  <c r="AC83" i="26" s="1"/>
  <c r="J30" i="26"/>
  <c r="O30" i="26" s="1"/>
  <c r="AC30" i="26" s="1"/>
  <c r="I133" i="26"/>
  <c r="W133" i="26" s="1"/>
  <c r="AB133" i="26" s="1"/>
  <c r="I107" i="26"/>
  <c r="W107" i="26" s="1"/>
  <c r="AB107" i="26" s="1"/>
  <c r="N12" i="32"/>
  <c r="S12" i="32" s="1"/>
  <c r="AA12" i="32"/>
  <c r="AF12" i="32" s="1"/>
  <c r="I137" i="26"/>
  <c r="J137" i="26" s="1"/>
  <c r="O137" i="26" s="1"/>
  <c r="I115" i="26"/>
  <c r="W115" i="26" s="1"/>
  <c r="AB115" i="26" s="1"/>
  <c r="I109" i="26"/>
  <c r="W109" i="26" s="1"/>
  <c r="AB109" i="26" s="1"/>
  <c r="AA14" i="32"/>
  <c r="AF14" i="32" s="1"/>
  <c r="N14" i="32"/>
  <c r="S14" i="32" s="1"/>
  <c r="W129" i="26"/>
  <c r="AB129" i="26" s="1"/>
  <c r="AC129" i="26" s="1"/>
  <c r="I136" i="26"/>
  <c r="J136" i="26" s="1"/>
  <c r="O136" i="26" s="1"/>
  <c r="I117" i="26"/>
  <c r="J117" i="26" s="1"/>
  <c r="O117" i="26" s="1"/>
  <c r="W67" i="26"/>
  <c r="AB67" i="26" s="1"/>
  <c r="AC67" i="26" s="1"/>
  <c r="W100" i="26"/>
  <c r="AB100" i="26" s="1"/>
  <c r="AC100" i="26" s="1"/>
  <c r="I113" i="26"/>
  <c r="J113" i="26" s="1"/>
  <c r="O113" i="26" s="1"/>
  <c r="I132" i="26"/>
  <c r="W132" i="26" s="1"/>
  <c r="AB132" i="26" s="1"/>
  <c r="AC65" i="26"/>
  <c r="I135" i="26"/>
  <c r="J135" i="26" s="1"/>
  <c r="O135" i="26" s="1"/>
  <c r="I130" i="26"/>
  <c r="W130" i="26" s="1"/>
  <c r="AB130" i="26" s="1"/>
  <c r="AC60" i="26"/>
  <c r="W25" i="26"/>
  <c r="AB25" i="26" s="1"/>
  <c r="AC25" i="26" s="1"/>
  <c r="W88" i="26"/>
  <c r="AB88" i="26" s="1"/>
  <c r="AC88" i="26" s="1"/>
  <c r="I112" i="26"/>
  <c r="J112" i="26" s="1"/>
  <c r="O112" i="26" s="1"/>
  <c r="I138" i="26"/>
  <c r="J138" i="26" s="1"/>
  <c r="O138" i="26" s="1"/>
  <c r="W90" i="26"/>
  <c r="AB90" i="26" s="1"/>
  <c r="AC90" i="26" s="1"/>
  <c r="I131" i="26"/>
  <c r="J131" i="26" s="1"/>
  <c r="O131" i="26" s="1"/>
  <c r="AC89" i="26"/>
  <c r="AC92" i="26"/>
  <c r="W27" i="26"/>
  <c r="AB27" i="26" s="1"/>
  <c r="AC27" i="26" s="1"/>
  <c r="AC16" i="26"/>
  <c r="AC98" i="26"/>
  <c r="AC123" i="26"/>
  <c r="AC52" i="26"/>
  <c r="AC68" i="26"/>
  <c r="AC58" i="26"/>
  <c r="J26" i="26"/>
  <c r="O26" i="26" s="1"/>
  <c r="AC26" i="26" s="1"/>
  <c r="W12" i="26"/>
  <c r="AB12" i="26" s="1"/>
  <c r="AC12" i="26" s="1"/>
  <c r="J101" i="26"/>
  <c r="O101" i="26" s="1"/>
  <c r="AC101" i="26" s="1"/>
  <c r="W38" i="26"/>
  <c r="AB38" i="26" s="1"/>
  <c r="AC38" i="26" s="1"/>
  <c r="W43" i="26"/>
  <c r="AB43" i="26" s="1"/>
  <c r="AC43" i="26" s="1"/>
  <c r="J15" i="26"/>
  <c r="O15" i="26" s="1"/>
  <c r="AC15" i="26" s="1"/>
  <c r="W29" i="26"/>
  <c r="AB29" i="26" s="1"/>
  <c r="AC29" i="26" s="1"/>
  <c r="J85" i="26"/>
  <c r="O85" i="26" s="1"/>
  <c r="AC85" i="26" s="1"/>
  <c r="J23" i="26"/>
  <c r="O23" i="26" s="1"/>
  <c r="AC23" i="26" s="1"/>
  <c r="J32" i="26"/>
  <c r="O32" i="26" s="1"/>
  <c r="AC32" i="26" s="1"/>
  <c r="P11" i="26"/>
  <c r="P92" i="26"/>
  <c r="P42" i="26"/>
  <c r="P98" i="26"/>
  <c r="P27" i="26"/>
  <c r="P76" i="26"/>
  <c r="P16" i="26"/>
  <c r="P129" i="26"/>
  <c r="P88" i="26"/>
  <c r="P22" i="26"/>
  <c r="P89" i="26"/>
  <c r="P17" i="26"/>
  <c r="P104" i="26"/>
  <c r="P57" i="26"/>
  <c r="P66" i="26"/>
  <c r="P84" i="26"/>
  <c r="P58" i="26"/>
  <c r="P29" i="26"/>
  <c r="P100" i="26"/>
  <c r="P68" i="26"/>
  <c r="P34" i="26"/>
  <c r="P18" i="26"/>
  <c r="AA21" i="32"/>
  <c r="AF21" i="32" s="1"/>
  <c r="N21" i="32"/>
  <c r="S21" i="32" s="1"/>
  <c r="AA134" i="32"/>
  <c r="AF134" i="32" s="1"/>
  <c r="N134" i="32"/>
  <c r="S134" i="32" s="1"/>
  <c r="AG134" i="32" s="1"/>
  <c r="AA16" i="32"/>
  <c r="AF16" i="32" s="1"/>
  <c r="N16" i="32"/>
  <c r="S16" i="32" s="1"/>
  <c r="AG16" i="32" s="1"/>
  <c r="N68" i="32"/>
  <c r="S68" i="32" s="1"/>
  <c r="AG68" i="32" s="1"/>
  <c r="AA68" i="32"/>
  <c r="AF68" i="32" s="1"/>
  <c r="W84" i="26"/>
  <c r="AB84" i="26" s="1"/>
  <c r="AC84" i="26" s="1"/>
  <c r="N36" i="32"/>
  <c r="S36" i="32" s="1"/>
  <c r="AA36" i="32"/>
  <c r="AF36" i="32" s="1"/>
  <c r="N20" i="32"/>
  <c r="S20" i="32" s="1"/>
  <c r="AA20" i="32"/>
  <c r="AF20" i="32" s="1"/>
  <c r="N35" i="32"/>
  <c r="S35" i="32" s="1"/>
  <c r="AA35" i="32"/>
  <c r="AF35" i="32" s="1"/>
  <c r="AA128" i="32"/>
  <c r="AF128" i="32" s="1"/>
  <c r="N128" i="32"/>
  <c r="S128" i="32" s="1"/>
  <c r="N131" i="32"/>
  <c r="S131" i="32" s="1"/>
  <c r="AA131" i="32"/>
  <c r="AF131" i="32" s="1"/>
  <c r="J36" i="26"/>
  <c r="O36" i="26" s="1"/>
  <c r="W36" i="26"/>
  <c r="AB36" i="26" s="1"/>
  <c r="AA56" i="32"/>
  <c r="AF56" i="32" s="1"/>
  <c r="N56" i="32"/>
  <c r="S56" i="32" s="1"/>
  <c r="AG56" i="32" s="1"/>
  <c r="AA72" i="32"/>
  <c r="AF72" i="32" s="1"/>
  <c r="N72" i="32"/>
  <c r="S72" i="32" s="1"/>
  <c r="N67" i="32"/>
  <c r="S67" i="32" s="1"/>
  <c r="AA67" i="32"/>
  <c r="AF67" i="32" s="1"/>
  <c r="N100" i="32"/>
  <c r="S100" i="32" s="1"/>
  <c r="AA100" i="32"/>
  <c r="AF100" i="32" s="1"/>
  <c r="AA119" i="32"/>
  <c r="AF119" i="32" s="1"/>
  <c r="N119" i="32"/>
  <c r="S119" i="32" s="1"/>
  <c r="AA125" i="32"/>
  <c r="AF125" i="32" s="1"/>
  <c r="N125" i="32"/>
  <c r="S125" i="32" s="1"/>
  <c r="N107" i="32"/>
  <c r="S107" i="32" s="1"/>
  <c r="AA107" i="32"/>
  <c r="AF107" i="32" s="1"/>
  <c r="AA46" i="32"/>
  <c r="AF46" i="32" s="1"/>
  <c r="N46" i="32"/>
  <c r="S46" i="32" s="1"/>
  <c r="AA49" i="32"/>
  <c r="AF49" i="32" s="1"/>
  <c r="N49" i="32"/>
  <c r="S49" i="32" s="1"/>
  <c r="AA123" i="32"/>
  <c r="AF123" i="32" s="1"/>
  <c r="N123" i="32"/>
  <c r="S123" i="32" s="1"/>
  <c r="AA40" i="32"/>
  <c r="AF40" i="32" s="1"/>
  <c r="N40" i="32"/>
  <c r="S40" i="32" s="1"/>
  <c r="J13" i="26"/>
  <c r="O13" i="26" s="1"/>
  <c r="AC13" i="26" s="1"/>
  <c r="AA25" i="32"/>
  <c r="AF25" i="32" s="1"/>
  <c r="N25" i="32"/>
  <c r="S25" i="32" s="1"/>
  <c r="AA23" i="32"/>
  <c r="AF23" i="32" s="1"/>
  <c r="N23" i="32"/>
  <c r="S23" i="32" s="1"/>
  <c r="N27" i="32"/>
  <c r="S27" i="32" s="1"/>
  <c r="AA27" i="32"/>
  <c r="AF27" i="32" s="1"/>
  <c r="AA137" i="32"/>
  <c r="AF137" i="32" s="1"/>
  <c r="N137" i="32"/>
  <c r="S137" i="32" s="1"/>
  <c r="AA138" i="32"/>
  <c r="AF138" i="32" s="1"/>
  <c r="N138" i="32"/>
  <c r="S138" i="32" s="1"/>
  <c r="AA57" i="32"/>
  <c r="AF57" i="32" s="1"/>
  <c r="N57" i="32"/>
  <c r="S57" i="32" s="1"/>
  <c r="AG57" i="32" s="1"/>
  <c r="AA62" i="32"/>
  <c r="AF62" i="32" s="1"/>
  <c r="N62" i="32"/>
  <c r="S62" i="32" s="1"/>
  <c r="N59" i="32"/>
  <c r="S59" i="32" s="1"/>
  <c r="AG59" i="32" s="1"/>
  <c r="AA59" i="32"/>
  <c r="AF59" i="32" s="1"/>
  <c r="AA110" i="32"/>
  <c r="AF110" i="32" s="1"/>
  <c r="N110" i="32"/>
  <c r="S110" i="32" s="1"/>
  <c r="N108" i="32"/>
  <c r="S108" i="32" s="1"/>
  <c r="AA108" i="32"/>
  <c r="AF108" i="32" s="1"/>
  <c r="AA113" i="32"/>
  <c r="AF113" i="32" s="1"/>
  <c r="N113" i="32"/>
  <c r="S113" i="32" s="1"/>
  <c r="N99" i="32"/>
  <c r="S99" i="32" s="1"/>
  <c r="AG99" i="32" s="1"/>
  <c r="AA99" i="32"/>
  <c r="AF99" i="32" s="1"/>
  <c r="AA45" i="32"/>
  <c r="AF45" i="32" s="1"/>
  <c r="N45" i="32"/>
  <c r="S45" i="32" s="1"/>
  <c r="AA48" i="32"/>
  <c r="AF48" i="32" s="1"/>
  <c r="N48" i="32"/>
  <c r="S48" i="32" s="1"/>
  <c r="AA37" i="32"/>
  <c r="AF37" i="32" s="1"/>
  <c r="N37" i="32"/>
  <c r="S37" i="32" s="1"/>
  <c r="N60" i="32"/>
  <c r="S60" i="32" s="1"/>
  <c r="AA60" i="32"/>
  <c r="AF60" i="32" s="1"/>
  <c r="N116" i="32"/>
  <c r="S116" i="32" s="1"/>
  <c r="AA116" i="32"/>
  <c r="AF116" i="32" s="1"/>
  <c r="N140" i="32"/>
  <c r="S140" i="32" s="1"/>
  <c r="AA140" i="32"/>
  <c r="AF140" i="32" s="1"/>
  <c r="N75" i="32"/>
  <c r="S75" i="32" s="1"/>
  <c r="AA75" i="32"/>
  <c r="AF75" i="32" s="1"/>
  <c r="AA118" i="32"/>
  <c r="AF118" i="32" s="1"/>
  <c r="N118" i="32"/>
  <c r="S118" i="32" s="1"/>
  <c r="W86" i="26"/>
  <c r="AB86" i="26" s="1"/>
  <c r="AC86" i="26" s="1"/>
  <c r="AA32" i="32"/>
  <c r="AF32" i="32" s="1"/>
  <c r="N32" i="32"/>
  <c r="S32" i="32" s="1"/>
  <c r="AA39" i="32"/>
  <c r="AF39" i="32" s="1"/>
  <c r="N39" i="32"/>
  <c r="S39" i="32" s="1"/>
  <c r="N19" i="32"/>
  <c r="S19" i="32" s="1"/>
  <c r="AA19" i="32"/>
  <c r="AF19" i="32" s="1"/>
  <c r="AA141" i="32"/>
  <c r="AF141" i="32" s="1"/>
  <c r="N141" i="32"/>
  <c r="S141" i="32" s="1"/>
  <c r="AA130" i="32"/>
  <c r="AF130" i="32" s="1"/>
  <c r="N130" i="32"/>
  <c r="S130" i="32" s="1"/>
  <c r="AG130" i="32" s="1"/>
  <c r="AA69" i="32"/>
  <c r="AF69" i="32" s="1"/>
  <c r="N69" i="32"/>
  <c r="S69" i="32" s="1"/>
  <c r="AA55" i="32"/>
  <c r="AF55" i="32" s="1"/>
  <c r="N55" i="32"/>
  <c r="S55" i="32" s="1"/>
  <c r="AG55" i="32" s="1"/>
  <c r="AA74" i="32"/>
  <c r="AF74" i="32" s="1"/>
  <c r="N74" i="32"/>
  <c r="S74" i="32" s="1"/>
  <c r="AA101" i="32"/>
  <c r="AF101" i="32" s="1"/>
  <c r="N101" i="32"/>
  <c r="S101" i="32" s="1"/>
  <c r="AG101" i="32" s="1"/>
  <c r="AA127" i="32"/>
  <c r="AF127" i="32" s="1"/>
  <c r="N127" i="32"/>
  <c r="S127" i="32" s="1"/>
  <c r="AA103" i="32"/>
  <c r="AF103" i="32" s="1"/>
  <c r="N103" i="32"/>
  <c r="S103" i="32" s="1"/>
  <c r="AA122" i="32"/>
  <c r="AF122" i="32" s="1"/>
  <c r="N122" i="32"/>
  <c r="S122" i="32" s="1"/>
  <c r="AG122" i="32" s="1"/>
  <c r="AA54" i="32"/>
  <c r="AF54" i="32" s="1"/>
  <c r="N54" i="32"/>
  <c r="S54" i="32" s="1"/>
  <c r="N51" i="32"/>
  <c r="S51" i="32" s="1"/>
  <c r="AA51" i="32"/>
  <c r="AF51" i="32" s="1"/>
  <c r="N28" i="32"/>
  <c r="S28" i="32" s="1"/>
  <c r="AA28" i="32"/>
  <c r="AF28" i="32" s="1"/>
  <c r="AA139" i="32"/>
  <c r="AF139" i="32" s="1"/>
  <c r="N139" i="32"/>
  <c r="S139" i="32" s="1"/>
  <c r="W70" i="26"/>
  <c r="AB70" i="26" s="1"/>
  <c r="AC70" i="26" s="1"/>
  <c r="AA11" i="32"/>
  <c r="AF11" i="32" s="1"/>
  <c r="N11" i="32"/>
  <c r="S11" i="32" s="1"/>
  <c r="AA33" i="32"/>
  <c r="AF33" i="32" s="1"/>
  <c r="N33" i="32"/>
  <c r="S33" i="32" s="1"/>
  <c r="AA29" i="32"/>
  <c r="AF29" i="32" s="1"/>
  <c r="N29" i="32"/>
  <c r="S29" i="32" s="1"/>
  <c r="AA34" i="32"/>
  <c r="AF34" i="32" s="1"/>
  <c r="N34" i="32"/>
  <c r="S34" i="32" s="1"/>
  <c r="AA136" i="32"/>
  <c r="AF136" i="32" s="1"/>
  <c r="N136" i="32"/>
  <c r="S136" i="32" s="1"/>
  <c r="N76" i="32"/>
  <c r="S76" i="32" s="1"/>
  <c r="AA76" i="32"/>
  <c r="AF76" i="32" s="1"/>
  <c r="AA71" i="32"/>
  <c r="AF71" i="32" s="1"/>
  <c r="N71" i="32"/>
  <c r="S71" i="32" s="1"/>
  <c r="AA66" i="32"/>
  <c r="AF66" i="32" s="1"/>
  <c r="N66" i="32"/>
  <c r="S66" i="32" s="1"/>
  <c r="AA121" i="32"/>
  <c r="AF121" i="32" s="1"/>
  <c r="N121" i="32"/>
  <c r="S121" i="32" s="1"/>
  <c r="AA117" i="32"/>
  <c r="AF117" i="32" s="1"/>
  <c r="N117" i="32"/>
  <c r="S117" i="32" s="1"/>
  <c r="N124" i="32"/>
  <c r="S124" i="32" s="1"/>
  <c r="AA124" i="32"/>
  <c r="AF124" i="32" s="1"/>
  <c r="AA114" i="32"/>
  <c r="AF114" i="32" s="1"/>
  <c r="N114" i="32"/>
  <c r="S114" i="32" s="1"/>
  <c r="AG114" i="32" s="1"/>
  <c r="N44" i="32"/>
  <c r="S44" i="32" s="1"/>
  <c r="AA44" i="32"/>
  <c r="AF44" i="32" s="1"/>
  <c r="N43" i="32"/>
  <c r="S43" i="32" s="1"/>
  <c r="AA43" i="32"/>
  <c r="AF43" i="32" s="1"/>
  <c r="AA63" i="32"/>
  <c r="AF63" i="32" s="1"/>
  <c r="N63" i="32"/>
  <c r="S63" i="32" s="1"/>
  <c r="AG63" i="32" s="1"/>
  <c r="J91" i="26"/>
  <c r="O91" i="26" s="1"/>
  <c r="AC91" i="26" s="1"/>
  <c r="AA30" i="32"/>
  <c r="AF30" i="32" s="1"/>
  <c r="N30" i="32"/>
  <c r="S30" i="32" s="1"/>
  <c r="W22" i="26"/>
  <c r="AB22" i="26" s="1"/>
  <c r="AC22" i="26" s="1"/>
  <c r="AA13" i="32"/>
  <c r="AF13" i="32" s="1"/>
  <c r="N13" i="32"/>
  <c r="S13" i="32" s="1"/>
  <c r="AG13" i="32" s="1"/>
  <c r="AA22" i="32"/>
  <c r="AF22" i="32" s="1"/>
  <c r="N22" i="32"/>
  <c r="S22" i="32" s="1"/>
  <c r="AA17" i="32"/>
  <c r="AF17" i="32" s="1"/>
  <c r="N17" i="32"/>
  <c r="S17" i="32" s="1"/>
  <c r="N26" i="32"/>
  <c r="S26" i="32" s="1"/>
  <c r="AA26" i="32"/>
  <c r="AF26" i="32" s="1"/>
  <c r="AA133" i="32"/>
  <c r="AF133" i="32" s="1"/>
  <c r="N133" i="32"/>
  <c r="S133" i="32" s="1"/>
  <c r="AA129" i="32"/>
  <c r="AF129" i="32" s="1"/>
  <c r="N129" i="32"/>
  <c r="S129" i="32" s="1"/>
  <c r="AG129" i="32" s="1"/>
  <c r="AA64" i="32"/>
  <c r="AF64" i="32" s="1"/>
  <c r="N64" i="32"/>
  <c r="S64" i="32" s="1"/>
  <c r="AG64" i="32" s="1"/>
  <c r="AA61" i="32"/>
  <c r="AF61" i="32" s="1"/>
  <c r="N61" i="32"/>
  <c r="S61" i="32" s="1"/>
  <c r="AG61" i="32" s="1"/>
  <c r="N58" i="32"/>
  <c r="S58" i="32" s="1"/>
  <c r="AG58" i="32" s="1"/>
  <c r="AA58" i="32"/>
  <c r="AF58" i="32" s="1"/>
  <c r="AA120" i="32"/>
  <c r="AF120" i="32" s="1"/>
  <c r="N120" i="32"/>
  <c r="S120" i="32" s="1"/>
  <c r="AA105" i="32"/>
  <c r="AF105" i="32" s="1"/>
  <c r="N105" i="32"/>
  <c r="S105" i="32" s="1"/>
  <c r="AA112" i="32"/>
  <c r="AF112" i="32" s="1"/>
  <c r="N112" i="32"/>
  <c r="S112" i="32" s="1"/>
  <c r="AG112" i="32" s="1"/>
  <c r="N106" i="32"/>
  <c r="S106" i="32" s="1"/>
  <c r="AA106" i="32"/>
  <c r="AF106" i="32" s="1"/>
  <c r="AA53" i="32"/>
  <c r="AF53" i="32" s="1"/>
  <c r="N53" i="32"/>
  <c r="S53" i="32" s="1"/>
  <c r="AA50" i="32"/>
  <c r="AF50" i="32" s="1"/>
  <c r="N50" i="32"/>
  <c r="S50" i="32" s="1"/>
  <c r="N132" i="32"/>
  <c r="S132" i="32" s="1"/>
  <c r="AA132" i="32"/>
  <c r="AF132" i="32" s="1"/>
  <c r="AA109" i="32"/>
  <c r="AF109" i="32" s="1"/>
  <c r="N109" i="32"/>
  <c r="S109" i="32" s="1"/>
  <c r="N52" i="32"/>
  <c r="S52" i="32" s="1"/>
  <c r="AA52" i="32"/>
  <c r="AF52" i="32" s="1"/>
  <c r="AA24" i="32"/>
  <c r="AF24" i="32" s="1"/>
  <c r="N24" i="32"/>
  <c r="S24" i="32" s="1"/>
  <c r="AA65" i="32"/>
  <c r="AF65" i="32" s="1"/>
  <c r="N65" i="32"/>
  <c r="S65" i="32" s="1"/>
  <c r="AG65" i="32" s="1"/>
  <c r="AA104" i="32"/>
  <c r="AF104" i="32" s="1"/>
  <c r="N104" i="32"/>
  <c r="S104" i="32" s="1"/>
  <c r="AA115" i="32"/>
  <c r="AF115" i="32" s="1"/>
  <c r="N115" i="32"/>
  <c r="S115" i="32" s="1"/>
  <c r="AA47" i="32"/>
  <c r="AF47" i="32" s="1"/>
  <c r="N47" i="32"/>
  <c r="S47" i="32" s="1"/>
  <c r="W104" i="26"/>
  <c r="AB104" i="26" s="1"/>
  <c r="AC104" i="26" s="1"/>
  <c r="W17" i="26"/>
  <c r="AB17" i="26" s="1"/>
  <c r="AC17" i="26" s="1"/>
  <c r="AA15" i="32"/>
  <c r="AF15" i="32" s="1"/>
  <c r="N15" i="32"/>
  <c r="S15" i="32" s="1"/>
  <c r="AA31" i="32"/>
  <c r="AF31" i="32" s="1"/>
  <c r="N31" i="32"/>
  <c r="S31" i="32" s="1"/>
  <c r="AA38" i="32"/>
  <c r="AF38" i="32" s="1"/>
  <c r="N38" i="32"/>
  <c r="S38" i="32" s="1"/>
  <c r="AA18" i="32"/>
  <c r="AF18" i="32" s="1"/>
  <c r="N18" i="32"/>
  <c r="S18" i="32" s="1"/>
  <c r="AG18" i="32" s="1"/>
  <c r="M82" i="32"/>
  <c r="M90" i="32"/>
  <c r="M98" i="32"/>
  <c r="M83" i="32"/>
  <c r="M91" i="32"/>
  <c r="M80" i="32"/>
  <c r="M92" i="32"/>
  <c r="M81" i="32"/>
  <c r="M93" i="32"/>
  <c r="M97" i="32"/>
  <c r="M84" i="32"/>
  <c r="M94" i="32"/>
  <c r="M85" i="32"/>
  <c r="M95" i="32"/>
  <c r="M96" i="32"/>
  <c r="M77" i="32"/>
  <c r="M87" i="32"/>
  <c r="M86" i="32"/>
  <c r="M78" i="32"/>
  <c r="M79" i="32"/>
  <c r="M88" i="32"/>
  <c r="M89" i="32"/>
  <c r="I116" i="26"/>
  <c r="I108" i="26"/>
  <c r="I106" i="26"/>
  <c r="I114" i="26"/>
  <c r="N142" i="32"/>
  <c r="S142" i="32" s="1"/>
  <c r="AA142" i="32"/>
  <c r="AF142" i="32" s="1"/>
  <c r="AA135" i="32"/>
  <c r="AF135" i="32" s="1"/>
  <c r="N135" i="32"/>
  <c r="S135" i="32" s="1"/>
  <c r="AG135" i="32" s="1"/>
  <c r="AA73" i="32"/>
  <c r="AF73" i="32" s="1"/>
  <c r="N73" i="32"/>
  <c r="S73" i="32" s="1"/>
  <c r="AA70" i="32"/>
  <c r="AF70" i="32" s="1"/>
  <c r="N70" i="32"/>
  <c r="S70" i="32" s="1"/>
  <c r="AA111" i="32"/>
  <c r="AF111" i="32" s="1"/>
  <c r="N111" i="32"/>
  <c r="S111" i="32" s="1"/>
  <c r="AA126" i="32"/>
  <c r="AF126" i="32" s="1"/>
  <c r="N126" i="32"/>
  <c r="S126" i="32" s="1"/>
  <c r="AA102" i="32"/>
  <c r="AF102" i="32" s="1"/>
  <c r="N102" i="32"/>
  <c r="S102" i="32" s="1"/>
  <c r="AA41" i="32"/>
  <c r="AF41" i="32" s="1"/>
  <c r="N41" i="32"/>
  <c r="S41" i="32" s="1"/>
  <c r="AG41" i="32" s="1"/>
  <c r="AA42" i="32"/>
  <c r="AF42" i="32" s="1"/>
  <c r="N42" i="32"/>
  <c r="S42" i="32" s="1"/>
  <c r="W75" i="26"/>
  <c r="AB75" i="26" s="1"/>
  <c r="J75" i="26"/>
  <c r="O75" i="26" s="1"/>
  <c r="J125" i="26"/>
  <c r="O125" i="26" s="1"/>
  <c r="W125" i="26"/>
  <c r="AB125" i="26" s="1"/>
  <c r="W124" i="26"/>
  <c r="AB124" i="26" s="1"/>
  <c r="J124" i="26"/>
  <c r="O124" i="26" s="1"/>
  <c r="J110" i="26"/>
  <c r="O110" i="26" s="1"/>
  <c r="W110" i="26"/>
  <c r="AB110" i="26" s="1"/>
  <c r="J24" i="26"/>
  <c r="O24" i="26" s="1"/>
  <c r="W24" i="26"/>
  <c r="AB24" i="26" s="1"/>
  <c r="J40" i="26"/>
  <c r="O40" i="26" s="1"/>
  <c r="W40" i="26"/>
  <c r="AB40" i="26" s="1"/>
  <c r="W140" i="26"/>
  <c r="AB140" i="26" s="1"/>
  <c r="J140" i="26"/>
  <c r="O140" i="26" s="1"/>
  <c r="P60" i="26"/>
  <c r="W37" i="26"/>
  <c r="AB37" i="26" s="1"/>
  <c r="J37" i="26"/>
  <c r="O37" i="26" s="1"/>
  <c r="J54" i="26"/>
  <c r="O54" i="26" s="1"/>
  <c r="W54" i="26"/>
  <c r="AB54" i="26" s="1"/>
  <c r="W128" i="26"/>
  <c r="AB128" i="26" s="1"/>
  <c r="J128" i="26"/>
  <c r="O128" i="26" s="1"/>
  <c r="J20" i="26"/>
  <c r="O20" i="26" s="1"/>
  <c r="W20" i="26"/>
  <c r="AB20" i="26" s="1"/>
  <c r="P28" i="26"/>
  <c r="J118" i="26"/>
  <c r="O118" i="26" s="1"/>
  <c r="W118" i="26"/>
  <c r="AB118" i="26" s="1"/>
  <c r="J64" i="26"/>
  <c r="O64" i="26" s="1"/>
  <c r="W64" i="26"/>
  <c r="AB64" i="26" s="1"/>
  <c r="J72" i="26"/>
  <c r="O72" i="26" s="1"/>
  <c r="W72" i="26"/>
  <c r="AB72" i="26" s="1"/>
  <c r="W51" i="26"/>
  <c r="AB51" i="26" s="1"/>
  <c r="J51" i="26"/>
  <c r="O51" i="26" s="1"/>
  <c r="W45" i="26"/>
  <c r="AB45" i="26" s="1"/>
  <c r="J45" i="26"/>
  <c r="O45" i="26" s="1"/>
  <c r="J48" i="26"/>
  <c r="O48" i="26" s="1"/>
  <c r="W48" i="26"/>
  <c r="AB48" i="26" s="1"/>
  <c r="J80" i="26"/>
  <c r="O80" i="26" s="1"/>
  <c r="W80" i="26"/>
  <c r="AB80" i="26" s="1"/>
  <c r="J56" i="26"/>
  <c r="O56" i="26" s="1"/>
  <c r="W56" i="26"/>
  <c r="AB56" i="26" s="1"/>
  <c r="P12" i="26"/>
  <c r="P70" i="26"/>
  <c r="P43" i="26"/>
  <c r="J122" i="26"/>
  <c r="O122" i="26" s="1"/>
  <c r="W122" i="26"/>
  <c r="AB122" i="26" s="1"/>
  <c r="J120" i="26"/>
  <c r="O120" i="26" s="1"/>
  <c r="W120" i="26"/>
  <c r="AB120" i="26" s="1"/>
  <c r="J96" i="26"/>
  <c r="O96" i="26" s="1"/>
  <c r="W96" i="26"/>
  <c r="AB96" i="26" s="1"/>
  <c r="J139" i="26"/>
  <c r="O139" i="26" s="1"/>
  <c r="W139" i="26"/>
  <c r="AB139" i="26" s="1"/>
  <c r="J44" i="26"/>
  <c r="O44" i="26" s="1"/>
  <c r="W44" i="26"/>
  <c r="AB44" i="26" s="1"/>
  <c r="J41" i="26"/>
  <c r="O41" i="26" s="1"/>
  <c r="W41" i="26"/>
  <c r="AB41" i="26" s="1"/>
  <c r="P123" i="26"/>
  <c r="J62" i="26"/>
  <c r="O62" i="26" s="1"/>
  <c r="W62" i="26"/>
  <c r="AB62" i="26" s="1"/>
  <c r="J94" i="26"/>
  <c r="O94" i="26" s="1"/>
  <c r="W94" i="26"/>
  <c r="AB94" i="26" s="1"/>
  <c r="P25" i="26"/>
  <c r="J19" i="26"/>
  <c r="O19" i="26" s="1"/>
  <c r="W19" i="26"/>
  <c r="AB19" i="26" s="1"/>
  <c r="P52" i="26"/>
  <c r="W69" i="26"/>
  <c r="AB69" i="26" s="1"/>
  <c r="J69" i="26"/>
  <c r="O69" i="26" s="1"/>
  <c r="J79" i="26"/>
  <c r="O79" i="26" s="1"/>
  <c r="W79" i="26"/>
  <c r="AB79" i="26" s="1"/>
  <c r="W71" i="26"/>
  <c r="AB71" i="26" s="1"/>
  <c r="J71" i="26"/>
  <c r="O71" i="26" s="1"/>
  <c r="J47" i="26"/>
  <c r="O47" i="26" s="1"/>
  <c r="W47" i="26"/>
  <c r="AB47" i="26" s="1"/>
  <c r="P127" i="26"/>
  <c r="J126" i="26"/>
  <c r="O126" i="26" s="1"/>
  <c r="W126" i="26"/>
  <c r="AB126" i="26" s="1"/>
  <c r="J78" i="26"/>
  <c r="O78" i="26" s="1"/>
  <c r="W78" i="26"/>
  <c r="AB78" i="26" s="1"/>
  <c r="P67" i="26"/>
  <c r="P31" i="26"/>
  <c r="J63" i="26"/>
  <c r="O63" i="26" s="1"/>
  <c r="W63" i="26"/>
  <c r="AB63" i="26" s="1"/>
  <c r="W61" i="26"/>
  <c r="AB61" i="26" s="1"/>
  <c r="J61" i="26"/>
  <c r="O61" i="26" s="1"/>
  <c r="J134" i="26"/>
  <c r="O134" i="26" s="1"/>
  <c r="W134" i="26"/>
  <c r="AB134" i="26" s="1"/>
  <c r="J97" i="26"/>
  <c r="O97" i="26" s="1"/>
  <c r="W97" i="26"/>
  <c r="AB97" i="26" s="1"/>
  <c r="J95" i="26"/>
  <c r="O95" i="26" s="1"/>
  <c r="W95" i="26"/>
  <c r="AB95" i="26" s="1"/>
  <c r="W77" i="26"/>
  <c r="AB77" i="26" s="1"/>
  <c r="J77" i="26"/>
  <c r="O77" i="26" s="1"/>
  <c r="P86" i="26"/>
  <c r="J50" i="26"/>
  <c r="O50" i="26" s="1"/>
  <c r="W50" i="26"/>
  <c r="AB50" i="26" s="1"/>
  <c r="J55" i="26"/>
  <c r="O55" i="26" s="1"/>
  <c r="W55" i="26"/>
  <c r="AB55" i="26" s="1"/>
  <c r="P65" i="26"/>
  <c r="J74" i="26"/>
  <c r="O74" i="26" s="1"/>
  <c r="W74" i="26"/>
  <c r="AB74" i="26" s="1"/>
  <c r="W53" i="26"/>
  <c r="AB53" i="26" s="1"/>
  <c r="J53" i="26"/>
  <c r="O53" i="26" s="1"/>
  <c r="P81" i="26"/>
  <c r="J121" i="26"/>
  <c r="O121" i="26" s="1"/>
  <c r="W121" i="26"/>
  <c r="AB121" i="26" s="1"/>
  <c r="J102" i="26"/>
  <c r="O102" i="26" s="1"/>
  <c r="W102" i="26"/>
  <c r="AB102" i="26" s="1"/>
  <c r="P90" i="26"/>
  <c r="P38" i="26"/>
  <c r="W59" i="26"/>
  <c r="AB59" i="26" s="1"/>
  <c r="J59" i="26"/>
  <c r="O59" i="26" s="1"/>
  <c r="J119" i="26"/>
  <c r="O119" i="26" s="1"/>
  <c r="W119" i="26"/>
  <c r="AB119" i="26" s="1"/>
  <c r="J111" i="26"/>
  <c r="O111" i="26" s="1"/>
  <c r="W111" i="26"/>
  <c r="AB111" i="26" s="1"/>
  <c r="J105" i="26"/>
  <c r="O105" i="26" s="1"/>
  <c r="W105" i="26"/>
  <c r="AB105" i="26" s="1"/>
  <c r="J103" i="26"/>
  <c r="O103" i="26" s="1"/>
  <c r="W103" i="26"/>
  <c r="AB103" i="26" s="1"/>
  <c r="W93" i="26"/>
  <c r="AB93" i="26" s="1"/>
  <c r="J93" i="26"/>
  <c r="O93" i="26" s="1"/>
  <c r="J49" i="26"/>
  <c r="O49" i="26" s="1"/>
  <c r="W49" i="26"/>
  <c r="AB49" i="26" s="1"/>
  <c r="J46" i="26"/>
  <c r="O46" i="26" s="1"/>
  <c r="W46" i="26"/>
  <c r="AB46" i="26" s="1"/>
  <c r="P39" i="26" l="1"/>
  <c r="J132" i="26"/>
  <c r="O132" i="26" s="1"/>
  <c r="P132" i="26" s="1"/>
  <c r="P87" i="26"/>
  <c r="P99" i="26"/>
  <c r="W138" i="26"/>
  <c r="AB138" i="26" s="1"/>
  <c r="AC138" i="26" s="1"/>
  <c r="J107" i="26"/>
  <c r="O107" i="26" s="1"/>
  <c r="AC107" i="26" s="1"/>
  <c r="W112" i="26"/>
  <c r="AB112" i="26" s="1"/>
  <c r="AC112" i="26" s="1"/>
  <c r="W137" i="26"/>
  <c r="AB137" i="26" s="1"/>
  <c r="AC137" i="26" s="1"/>
  <c r="W136" i="26"/>
  <c r="AB136" i="26" s="1"/>
  <c r="AC136" i="26" s="1"/>
  <c r="P14" i="26"/>
  <c r="W113" i="26"/>
  <c r="AB113" i="26" s="1"/>
  <c r="AC113" i="26" s="1"/>
  <c r="P35" i="26"/>
  <c r="W135" i="26"/>
  <c r="AB135" i="26" s="1"/>
  <c r="AC135" i="26" s="1"/>
  <c r="W117" i="26"/>
  <c r="AB117" i="26" s="1"/>
  <c r="AC117" i="26" s="1"/>
  <c r="W131" i="26"/>
  <c r="AB131" i="26" s="1"/>
  <c r="AC131" i="26" s="1"/>
  <c r="J130" i="26"/>
  <c r="O130" i="26" s="1"/>
  <c r="P130" i="26" s="1"/>
  <c r="AC33" i="26"/>
  <c r="AC21" i="26"/>
  <c r="AC41" i="26"/>
  <c r="AC20" i="26"/>
  <c r="P73" i="26"/>
  <c r="P30" i="26"/>
  <c r="AC105" i="26"/>
  <c r="AC53" i="26"/>
  <c r="AC97" i="26"/>
  <c r="AC71" i="26"/>
  <c r="AG37" i="32"/>
  <c r="AG137" i="32"/>
  <c r="AC59" i="26"/>
  <c r="J133" i="26"/>
  <c r="O133" i="26" s="1"/>
  <c r="P133" i="26" s="1"/>
  <c r="J109" i="26"/>
  <c r="O109" i="26" s="1"/>
  <c r="AC109" i="26" s="1"/>
  <c r="AG131" i="32"/>
  <c r="AC46" i="26"/>
  <c r="AG123" i="32"/>
  <c r="AC110" i="26"/>
  <c r="AC93" i="26"/>
  <c r="AC77" i="26"/>
  <c r="AC128" i="26"/>
  <c r="AC124" i="26"/>
  <c r="AC140" i="26"/>
  <c r="AC49" i="26"/>
  <c r="AC102" i="26"/>
  <c r="AC126" i="26"/>
  <c r="AC122" i="26"/>
  <c r="AC48" i="26"/>
  <c r="AC72" i="26"/>
  <c r="AG142" i="32"/>
  <c r="AG124" i="32"/>
  <c r="AC62" i="26"/>
  <c r="AG126" i="32"/>
  <c r="AG115" i="32"/>
  <c r="AG120" i="32"/>
  <c r="AG117" i="32"/>
  <c r="AG34" i="32"/>
  <c r="AG127" i="32"/>
  <c r="AG27" i="32"/>
  <c r="AG67" i="32"/>
  <c r="AG35" i="32"/>
  <c r="P83" i="26"/>
  <c r="AC47" i="26"/>
  <c r="AG15" i="32"/>
  <c r="AG125" i="32"/>
  <c r="AG111" i="32"/>
  <c r="AG104" i="32"/>
  <c r="AG50" i="32"/>
  <c r="AG121" i="32"/>
  <c r="AG29" i="32"/>
  <c r="AG141" i="32"/>
  <c r="AG70" i="32"/>
  <c r="AG53" i="32"/>
  <c r="AG17" i="32"/>
  <c r="AG66" i="32"/>
  <c r="AG33" i="32"/>
  <c r="AG54" i="32"/>
  <c r="AG74" i="32"/>
  <c r="AG140" i="32"/>
  <c r="AG107" i="32"/>
  <c r="AG36" i="32"/>
  <c r="J115" i="26"/>
  <c r="O115" i="26" s="1"/>
  <c r="AC115" i="26" s="1"/>
  <c r="AG106" i="32"/>
  <c r="AG44" i="32"/>
  <c r="AG113" i="32"/>
  <c r="T12" i="32"/>
  <c r="AG12" i="32"/>
  <c r="AC45" i="26"/>
  <c r="AC74" i="26"/>
  <c r="AC24" i="26"/>
  <c r="AG45" i="32"/>
  <c r="AG23" i="32"/>
  <c r="AG46" i="32"/>
  <c r="AG72" i="32"/>
  <c r="AG21" i="32"/>
  <c r="AG14" i="32"/>
  <c r="T14" i="32"/>
  <c r="AC55" i="26"/>
  <c r="AC19" i="26"/>
  <c r="AC78" i="26"/>
  <c r="AC69" i="26"/>
  <c r="AC139" i="26"/>
  <c r="AC64" i="26"/>
  <c r="AC40" i="26"/>
  <c r="AC125" i="26"/>
  <c r="AC50" i="26"/>
  <c r="AC111" i="26"/>
  <c r="AC134" i="26"/>
  <c r="AC96" i="26"/>
  <c r="AC118" i="26"/>
  <c r="AC54" i="26"/>
  <c r="AC75" i="26"/>
  <c r="AC61" i="26"/>
  <c r="AC51" i="26"/>
  <c r="AC37" i="26"/>
  <c r="AC119" i="26"/>
  <c r="AC63" i="26"/>
  <c r="AC94" i="26"/>
  <c r="AC44" i="26"/>
  <c r="AC56" i="26"/>
  <c r="AC79" i="26"/>
  <c r="AC103" i="26"/>
  <c r="AC121" i="26"/>
  <c r="AC95" i="26"/>
  <c r="AC120" i="26"/>
  <c r="AC80" i="26"/>
  <c r="AC36" i="26"/>
  <c r="P15" i="26"/>
  <c r="AG38" i="32"/>
  <c r="AG132" i="32"/>
  <c r="AG28" i="32"/>
  <c r="AG75" i="32"/>
  <c r="AG20" i="32"/>
  <c r="AG31" i="32"/>
  <c r="AG26" i="32"/>
  <c r="AG51" i="32"/>
  <c r="AG62" i="32"/>
  <c r="AG25" i="32"/>
  <c r="AG43" i="32"/>
  <c r="AG19" i="32"/>
  <c r="AG42" i="32"/>
  <c r="AG73" i="32"/>
  <c r="AG24" i="32"/>
  <c r="AG22" i="32"/>
  <c r="AG71" i="32"/>
  <c r="AG39" i="32"/>
  <c r="AG116" i="32"/>
  <c r="AG138" i="32"/>
  <c r="AG40" i="32"/>
  <c r="AG119" i="32"/>
  <c r="AG69" i="32"/>
  <c r="AG32" i="32"/>
  <c r="AG60" i="32"/>
  <c r="AG52" i="32"/>
  <c r="AG76" i="32"/>
  <c r="AG128" i="32"/>
  <c r="AG102" i="32"/>
  <c r="AG47" i="32"/>
  <c r="AG109" i="32"/>
  <c r="AG105" i="32"/>
  <c r="AG133" i="32"/>
  <c r="AG136" i="32"/>
  <c r="AG139" i="32"/>
  <c r="AG103" i="32"/>
  <c r="AG108" i="32"/>
  <c r="AG100" i="32"/>
  <c r="AG30" i="32"/>
  <c r="AG118" i="32"/>
  <c r="AG48" i="32"/>
  <c r="AG110" i="32"/>
  <c r="AG49" i="32"/>
  <c r="AG11" i="32"/>
  <c r="T123" i="32"/>
  <c r="P101" i="26"/>
  <c r="P26" i="26"/>
  <c r="P23" i="26"/>
  <c r="P85" i="26"/>
  <c r="P32" i="26"/>
  <c r="T99" i="32"/>
  <c r="T43" i="32"/>
  <c r="T107" i="32"/>
  <c r="T140" i="32"/>
  <c r="T67" i="32"/>
  <c r="T55" i="32"/>
  <c r="T68" i="32"/>
  <c r="T76" i="32"/>
  <c r="T37" i="32"/>
  <c r="T137" i="32"/>
  <c r="T128" i="32"/>
  <c r="T138" i="32"/>
  <c r="T102" i="32"/>
  <c r="T109" i="32"/>
  <c r="T133" i="32"/>
  <c r="T139" i="32"/>
  <c r="T108" i="32"/>
  <c r="T129" i="32"/>
  <c r="T60" i="32"/>
  <c r="T142" i="32"/>
  <c r="T30" i="32"/>
  <c r="T124" i="32"/>
  <c r="T118" i="32"/>
  <c r="T48" i="32"/>
  <c r="T110" i="32"/>
  <c r="T134" i="32"/>
  <c r="T44" i="32"/>
  <c r="T112" i="32"/>
  <c r="T115" i="32"/>
  <c r="T120" i="32"/>
  <c r="T35" i="32"/>
  <c r="T106" i="32"/>
  <c r="T113" i="32"/>
  <c r="T40" i="32"/>
  <c r="T38" i="32"/>
  <c r="T45" i="32"/>
  <c r="T23" i="32"/>
  <c r="T72" i="32"/>
  <c r="T104" i="32"/>
  <c r="T63" i="32"/>
  <c r="T29" i="32"/>
  <c r="T101" i="32"/>
  <c r="T75" i="32"/>
  <c r="T59" i="32"/>
  <c r="T31" i="32"/>
  <c r="T58" i="32"/>
  <c r="T26" i="32"/>
  <c r="T51" i="32"/>
  <c r="T62" i="32"/>
  <c r="T25" i="32"/>
  <c r="T131" i="32"/>
  <c r="T53" i="32"/>
  <c r="T36" i="32"/>
  <c r="T70" i="32"/>
  <c r="T65" i="32"/>
  <c r="T61" i="32"/>
  <c r="T57" i="32"/>
  <c r="T125" i="32"/>
  <c r="T73" i="32"/>
  <c r="T22" i="32"/>
  <c r="T71" i="32"/>
  <c r="T39" i="32"/>
  <c r="T116" i="32"/>
  <c r="P36" i="26"/>
  <c r="P13" i="26"/>
  <c r="P91" i="26"/>
  <c r="T119" i="32"/>
  <c r="T141" i="32"/>
  <c r="T49" i="32"/>
  <c r="T56" i="32"/>
  <c r="T127" i="32"/>
  <c r="T103" i="32"/>
  <c r="T54" i="32"/>
  <c r="T24" i="32"/>
  <c r="T111" i="32"/>
  <c r="T121" i="32"/>
  <c r="T42" i="32"/>
  <c r="T105" i="32"/>
  <c r="T50" i="32"/>
  <c r="T47" i="32"/>
  <c r="T136" i="32"/>
  <c r="T126" i="32"/>
  <c r="T117" i="32"/>
  <c r="T33" i="32"/>
  <c r="J116" i="26"/>
  <c r="O116" i="26" s="1"/>
  <c r="W116" i="26"/>
  <c r="AB116" i="26" s="1"/>
  <c r="N92" i="32"/>
  <c r="S92" i="32" s="1"/>
  <c r="AA92" i="32"/>
  <c r="AF92" i="32" s="1"/>
  <c r="N84" i="32"/>
  <c r="S84" i="32" s="1"/>
  <c r="AA84" i="32"/>
  <c r="AF84" i="32" s="1"/>
  <c r="T20" i="32"/>
  <c r="T69" i="32"/>
  <c r="T132" i="32"/>
  <c r="AA86" i="32"/>
  <c r="AF86" i="32" s="1"/>
  <c r="N86" i="32"/>
  <c r="S86" i="32" s="1"/>
  <c r="AA97" i="32"/>
  <c r="AF97" i="32" s="1"/>
  <c r="N97" i="32"/>
  <c r="S97" i="32" s="1"/>
  <c r="N90" i="32"/>
  <c r="S90" i="32" s="1"/>
  <c r="AA90" i="32"/>
  <c r="AF90" i="32" s="1"/>
  <c r="T15" i="32"/>
  <c r="T19" i="32"/>
  <c r="T16" i="32"/>
  <c r="AA78" i="32"/>
  <c r="AF78" i="32" s="1"/>
  <c r="N78" i="32"/>
  <c r="S78" i="32" s="1"/>
  <c r="AA98" i="32"/>
  <c r="AF98" i="32" s="1"/>
  <c r="N98" i="32"/>
  <c r="S98" i="32" s="1"/>
  <c r="T32" i="32"/>
  <c r="AA87" i="32"/>
  <c r="AF87" i="32" s="1"/>
  <c r="N87" i="32"/>
  <c r="S87" i="32" s="1"/>
  <c r="AA93" i="32"/>
  <c r="AF93" i="32" s="1"/>
  <c r="N93" i="32"/>
  <c r="S93" i="32" s="1"/>
  <c r="N82" i="32"/>
  <c r="S82" i="32" s="1"/>
  <c r="AA82" i="32"/>
  <c r="AF82" i="32" s="1"/>
  <c r="T11" i="32"/>
  <c r="J108" i="26"/>
  <c r="O108" i="26" s="1"/>
  <c r="W108" i="26"/>
  <c r="AB108" i="26" s="1"/>
  <c r="T27" i="32"/>
  <c r="T52" i="32"/>
  <c r="T100" i="32"/>
  <c r="T41" i="32"/>
  <c r="J114" i="26"/>
  <c r="O114" i="26" s="1"/>
  <c r="W114" i="26"/>
  <c r="AB114" i="26" s="1"/>
  <c r="AA77" i="32"/>
  <c r="AF77" i="32" s="1"/>
  <c r="N77" i="32"/>
  <c r="S77" i="32" s="1"/>
  <c r="AA81" i="32"/>
  <c r="AF81" i="32" s="1"/>
  <c r="N81" i="32"/>
  <c r="S81" i="32" s="1"/>
  <c r="T18" i="32"/>
  <c r="T13" i="32"/>
  <c r="T122" i="32"/>
  <c r="T74" i="32"/>
  <c r="T66" i="32"/>
  <c r="AA89" i="32"/>
  <c r="AF89" i="32" s="1"/>
  <c r="N89" i="32"/>
  <c r="S89" i="32" s="1"/>
  <c r="AA95" i="32"/>
  <c r="AF95" i="32" s="1"/>
  <c r="N95" i="32"/>
  <c r="S95" i="32" s="1"/>
  <c r="AA80" i="32"/>
  <c r="AF80" i="32" s="1"/>
  <c r="N80" i="32"/>
  <c r="S80" i="32" s="1"/>
  <c r="T64" i="32"/>
  <c r="AA96" i="32"/>
  <c r="AF96" i="32" s="1"/>
  <c r="N96" i="32"/>
  <c r="S96" i="32" s="1"/>
  <c r="T130" i="32"/>
  <c r="J106" i="26"/>
  <c r="O106" i="26" s="1"/>
  <c r="W106" i="26"/>
  <c r="AB106" i="26" s="1"/>
  <c r="AA88" i="32"/>
  <c r="AF88" i="32" s="1"/>
  <c r="N88" i="32"/>
  <c r="S88" i="32" s="1"/>
  <c r="AA85" i="32"/>
  <c r="AF85" i="32" s="1"/>
  <c r="N85" i="32"/>
  <c r="S85" i="32" s="1"/>
  <c r="N91" i="32"/>
  <c r="S91" i="32" s="1"/>
  <c r="AA91" i="32"/>
  <c r="AF91" i="32" s="1"/>
  <c r="T21" i="32"/>
  <c r="T34" i="32"/>
  <c r="T135" i="32"/>
  <c r="T28" i="32"/>
  <c r="T114" i="32"/>
  <c r="AA79" i="32"/>
  <c r="AF79" i="32" s="1"/>
  <c r="N79" i="32"/>
  <c r="S79" i="32" s="1"/>
  <c r="AA94" i="32"/>
  <c r="AF94" i="32" s="1"/>
  <c r="N94" i="32"/>
  <c r="S94" i="32" s="1"/>
  <c r="N83" i="32"/>
  <c r="S83" i="32" s="1"/>
  <c r="AA83" i="32"/>
  <c r="AF83" i="32" s="1"/>
  <c r="T17" i="32"/>
  <c r="T46" i="32"/>
  <c r="P63" i="26"/>
  <c r="P79" i="26"/>
  <c r="P19" i="26"/>
  <c r="P136" i="26"/>
  <c r="P110" i="26"/>
  <c r="P94" i="26"/>
  <c r="P45" i="26"/>
  <c r="P119" i="26"/>
  <c r="P48" i="26"/>
  <c r="P20" i="26"/>
  <c r="P54" i="26"/>
  <c r="P125" i="26"/>
  <c r="P93" i="26"/>
  <c r="P59" i="26"/>
  <c r="P102" i="26"/>
  <c r="P121" i="26"/>
  <c r="P74" i="26"/>
  <c r="P41" i="26"/>
  <c r="P139" i="26"/>
  <c r="P51" i="26"/>
  <c r="P128" i="26"/>
  <c r="P37" i="26"/>
  <c r="P75" i="26"/>
  <c r="P46" i="26"/>
  <c r="P53" i="26"/>
  <c r="P50" i="26"/>
  <c r="P72" i="26"/>
  <c r="P40" i="26"/>
  <c r="P61" i="26"/>
  <c r="P71" i="26"/>
  <c r="P117" i="26"/>
  <c r="P113" i="26"/>
  <c r="P44" i="26"/>
  <c r="P96" i="26"/>
  <c r="P120" i="26"/>
  <c r="P138" i="26"/>
  <c r="P111" i="26"/>
  <c r="P55" i="26"/>
  <c r="P134" i="26"/>
  <c r="P131" i="26"/>
  <c r="P137" i="26"/>
  <c r="P80" i="26"/>
  <c r="P69" i="26"/>
  <c r="P140" i="26"/>
  <c r="P95" i="26"/>
  <c r="P56" i="26"/>
  <c r="P103" i="26"/>
  <c r="P97" i="26"/>
  <c r="P78" i="26"/>
  <c r="P47" i="26"/>
  <c r="P64" i="26"/>
  <c r="P118" i="26"/>
  <c r="P24" i="26"/>
  <c r="P105" i="26"/>
  <c r="P77" i="26"/>
  <c r="P49" i="26"/>
  <c r="P126" i="26"/>
  <c r="P135" i="26"/>
  <c r="P62" i="26"/>
  <c r="P112" i="26"/>
  <c r="P122" i="26"/>
  <c r="P124" i="26"/>
  <c r="AC132" i="26" l="1"/>
  <c r="AC130" i="26"/>
  <c r="P107" i="26"/>
  <c r="AC133" i="26"/>
  <c r="P115" i="26"/>
  <c r="P109" i="26"/>
  <c r="AC106" i="26"/>
  <c r="AG93" i="32"/>
  <c r="AG88" i="32"/>
  <c r="AG84" i="32"/>
  <c r="AG79" i="32"/>
  <c r="AG90" i="32"/>
  <c r="AG95" i="32"/>
  <c r="AG97" i="32"/>
  <c r="AG89" i="32"/>
  <c r="AG86" i="32"/>
  <c r="AG77" i="32"/>
  <c r="AG98" i="32"/>
  <c r="AC116" i="26"/>
  <c r="AC114" i="26"/>
  <c r="AC108" i="26"/>
  <c r="AG80" i="32"/>
  <c r="AG87" i="32"/>
  <c r="AG92" i="32"/>
  <c r="AG78" i="32"/>
  <c r="AG91" i="32"/>
  <c r="AG85" i="32"/>
  <c r="AG96" i="32"/>
  <c r="AG81" i="32"/>
  <c r="AG82" i="32"/>
  <c r="AG83" i="32"/>
  <c r="AG94" i="32"/>
  <c r="T96" i="32"/>
  <c r="T90" i="32"/>
  <c r="T94" i="32"/>
  <c r="P108" i="26"/>
  <c r="T97" i="32"/>
  <c r="T87" i="32"/>
  <c r="T91" i="32"/>
  <c r="P106" i="26"/>
  <c r="T89" i="32"/>
  <c r="T81" i="32"/>
  <c r="T83" i="32"/>
  <c r="T95" i="32"/>
  <c r="T79" i="32"/>
  <c r="T85" i="32"/>
  <c r="T86" i="32"/>
  <c r="T92" i="32"/>
  <c r="T77" i="32"/>
  <c r="T88" i="32"/>
  <c r="P114" i="26"/>
  <c r="T82" i="32"/>
  <c r="T98" i="32"/>
  <c r="T84" i="32"/>
  <c r="P116" i="26"/>
  <c r="T80" i="32"/>
  <c r="T93" i="32"/>
  <c r="T78"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E34" authorId="0" shapeId="0" xr:uid="{493BFA74-EDDD-4957-A766-2A45CBF28B8D}">
      <text>
        <r>
          <rPr>
            <sz val="9"/>
            <color indexed="81"/>
            <rFont val="Tahoma"/>
            <family val="2"/>
          </rPr>
          <t>This enterprise could tolerate a loss up to $10,000.</t>
        </r>
      </text>
    </comment>
    <comment ref="E35" authorId="0" shapeId="0" xr:uid="{5C8D4536-CA35-4D44-A229-3F9BBE587278}">
      <text>
        <r>
          <rPr>
            <sz val="9"/>
            <color indexed="81"/>
            <rFont val="Tahoma"/>
            <family val="2"/>
          </rPr>
          <t>If this enterprise loses more than $500,000, they could not recover.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G42" authorId="0" shapeId="0" xr:uid="{4BBE69DC-9FB7-4A93-A24D-65639FDE15A7}">
      <text>
        <r>
          <rPr>
            <sz val="9"/>
            <color indexed="81"/>
            <rFont val="Tahoma"/>
            <family val="2"/>
          </rPr>
          <t>The highest Obligations Impact Score that an asset could cause would be '4'.</t>
        </r>
      </text>
    </comment>
    <comment ref="G46" authorId="0" shapeId="0" xr:uid="{F96C9502-049A-4A06-BFC3-DA52B3EB25B9}">
      <text>
        <r>
          <rPr>
            <sz val="9"/>
            <color indexed="81"/>
            <rFont val="Tahoma"/>
            <family val="2"/>
          </rPr>
          <t>If the network in this enterprise were compromised, the highest Obligations Impact it could create would be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Y15" authorId="0" shapeId="0" xr:uid="{6A0321F2-AC8C-40E3-90F3-1DC25C499D96}">
      <text>
        <r>
          <rPr>
            <sz val="9"/>
            <color indexed="81"/>
            <rFont val="Tahoma"/>
            <family val="2"/>
          </rPr>
          <t>This enterprise believes that permitting script engines on only system admin computers will address this risk.</t>
        </r>
      </text>
    </comment>
  </commentList>
</comments>
</file>

<file path=xl/sharedStrings.xml><?xml version="1.0" encoding="utf-8"?>
<sst xmlns="http://schemas.openxmlformats.org/spreadsheetml/2006/main" count="2200" uniqueCount="587">
  <si>
    <t>Impact to Mission</t>
  </si>
  <si>
    <t>Impact to Obligations</t>
  </si>
  <si>
    <t>Risk Score</t>
  </si>
  <si>
    <t>Risk Level</t>
  </si>
  <si>
    <t>Definition</t>
  </si>
  <si>
    <t>Impact Scores</t>
  </si>
  <si>
    <t>Mission</t>
  </si>
  <si>
    <t>Acceptable Risk Score</t>
  </si>
  <si>
    <t>Risk Acceptance Criteria</t>
  </si>
  <si>
    <t>Sum of Threat Count / Industry</t>
  </si>
  <si>
    <t>Percentage</t>
  </si>
  <si>
    <t>Maturity</t>
  </si>
  <si>
    <t>Index</t>
  </si>
  <si>
    <t>Address Unauthorized Assets</t>
  </si>
  <si>
    <t>Use Unique Passwords</t>
  </si>
  <si>
    <t>Ensure Use of Only Fully Supported Browsers and Email Clients</t>
  </si>
  <si>
    <t>Disable Dormant Accounts</t>
  </si>
  <si>
    <t>Mission Impact</t>
  </si>
  <si>
    <t>Obligations Impact</t>
  </si>
  <si>
    <t>Impact Criteria</t>
  </si>
  <si>
    <t>VCDB Index</t>
  </si>
  <si>
    <t>VCDB Index Weight Table</t>
  </si>
  <si>
    <t>Asset Class</t>
  </si>
  <si>
    <t>Obligations</t>
  </si>
  <si>
    <t>Scope</t>
  </si>
  <si>
    <t>Last Completed (Date)</t>
  </si>
  <si>
    <t>Risk Register</t>
  </si>
  <si>
    <t>Inherent Risk Criteria</t>
  </si>
  <si>
    <t>Risk Treatment Safeguard</t>
  </si>
  <si>
    <t>Implementation Year</t>
  </si>
  <si>
    <t>Year</t>
  </si>
  <si>
    <t>Reasonable?</t>
  </si>
  <si>
    <t>Risk Treatment
Safeguard Title</t>
  </si>
  <si>
    <t>Risk Treatment
Safeguard Description</t>
  </si>
  <si>
    <t>Risk Treatment Safeguard Impact to Mission</t>
  </si>
  <si>
    <t>Risk Treatment Safeguard Impact to Obligations</t>
  </si>
  <si>
    <t>Risk Treatment Safeguard Cost</t>
  </si>
  <si>
    <t>Risk Treatment Safeguard Risk Score</t>
  </si>
  <si>
    <t>Establish and Maintain Detailed Enterprise Asset Inventory</t>
  </si>
  <si>
    <t>Establish and Maintain a Software Inventory</t>
  </si>
  <si>
    <t xml:space="preserve">Ensure Authorized Software is Currently Supported </t>
  </si>
  <si>
    <t>Address Unauthorized Software</t>
  </si>
  <si>
    <t>Establish and Maintain a Data Management Process</t>
  </si>
  <si>
    <t>Establish and Maintain a Data Inventory</t>
  </si>
  <si>
    <t>Configure Data Access Control Lists</t>
  </si>
  <si>
    <t>Enforce Data Retention</t>
  </si>
  <si>
    <t>Securely Dispose of Data</t>
  </si>
  <si>
    <t>Encrypt Data on End-User Devices</t>
  </si>
  <si>
    <t>Establish and Maintain a Secure Configuration Process</t>
  </si>
  <si>
    <t>Establish and Maintain a Secure Configuration Process for Network Infrastructure</t>
  </si>
  <si>
    <t>Configure Automatic Session Locking on Enterprise Assets</t>
  </si>
  <si>
    <t>Implement and Manage a Firewall on Servers</t>
  </si>
  <si>
    <t>Implement and Manage a Firewall on End-User Devices</t>
  </si>
  <si>
    <t>Securely Manage Enterprise Assets and Software</t>
  </si>
  <si>
    <t>Manage Default Accounts on Enterprise Assets and Software</t>
  </si>
  <si>
    <t>Establish and Maintain an Inventory of Accounts</t>
  </si>
  <si>
    <t>Restrict Administrator Privileges to Dedicated Administrator Accounts</t>
  </si>
  <si>
    <t>Establish an Access Granting Process</t>
  </si>
  <si>
    <t>Establish an Access Revoking Process</t>
  </si>
  <si>
    <t>Require MFA for Externally-Exposed Applications</t>
  </si>
  <si>
    <t>Require MFA for Remote Network Access</t>
  </si>
  <si>
    <t>Require MFA for Administrative Access</t>
  </si>
  <si>
    <t>Establish and Maintain a Vulnerability Management Process</t>
  </si>
  <si>
    <t>Establish and Maintain a Remediation Process</t>
  </si>
  <si>
    <t>Perform Automated Operating System Patch Management</t>
  </si>
  <si>
    <t>Perform Automated Application Patch Management</t>
  </si>
  <si>
    <t>Establish and Maintain an Audit Log Management Process</t>
  </si>
  <si>
    <t>Collect Audit Logs</t>
  </si>
  <si>
    <t>Ensure Adequate Audit Log Storage</t>
  </si>
  <si>
    <t>Use DNS Filtering Services</t>
  </si>
  <si>
    <t>Deploy and Maintain Anti-Malware Software</t>
  </si>
  <si>
    <t>Configure Automatic Anti-Malware Signature Updates</t>
  </si>
  <si>
    <t>Disable Autorun and Autoplay for Removable Media</t>
  </si>
  <si>
    <t>Establish and Maintain a Data Recovery Process </t>
  </si>
  <si>
    <t>Perform Automated Backups </t>
  </si>
  <si>
    <t>Protect Recovery Data</t>
  </si>
  <si>
    <t>Establish and Maintain an Isolated Instance of Recovery Data </t>
  </si>
  <si>
    <t>Ensure Network Infrastructure is Up-to-Date</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</si>
  <si>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</si>
  <si>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</si>
  <si>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</si>
  <si>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</si>
  <si>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</si>
  <si>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</si>
  <si>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on How to Identify and Report if Their Enterprise Assets are Missing Security Updates</t>
  </si>
  <si>
    <t>Train Workforce on the Dangers of Connecting to and Transmitting Enterprise Data Over Insecure Networks</t>
  </si>
  <si>
    <t>Establish and Maintain an Inventory of Service Providers</t>
  </si>
  <si>
    <t>Designate Personnel to Manage Incident Handling</t>
  </si>
  <si>
    <t>Establish and Maintain Contact Information for Reporting Security Incidents</t>
  </si>
  <si>
    <t>Establish and Maintain an Enterprise Process for Reporting Incidents</t>
  </si>
  <si>
    <t>Data</t>
  </si>
  <si>
    <t>Devices</t>
  </si>
  <si>
    <t>Applications</t>
  </si>
  <si>
    <t>Network</t>
  </si>
  <si>
    <t>Users</t>
  </si>
  <si>
    <t>Enterprise</t>
  </si>
  <si>
    <t>Enterprise Name</t>
  </si>
  <si>
    <t>Operational Objectives</t>
  </si>
  <si>
    <t>Financial Objectives</t>
  </si>
  <si>
    <t>Operational Objectives Impact</t>
  </si>
  <si>
    <t>Impact to Operational Objectives</t>
  </si>
  <si>
    <t>Risk Treatment Safeguard Impact to Operational Objectives</t>
  </si>
  <si>
    <t>Impact to Financial Objectives</t>
  </si>
  <si>
    <t>Incident Count</t>
  </si>
  <si>
    <t>As of</t>
  </si>
  <si>
    <t>VCDB Index Lookup</t>
  </si>
  <si>
    <t>Unknown</t>
  </si>
  <si>
    <t>Implementation Quarter</t>
  </si>
  <si>
    <t>Safeguard is not implemented or is inconsistently implemented.</t>
  </si>
  <si>
    <t>Safeguard is implemented fully on some assets or partially on all assets.</t>
  </si>
  <si>
    <t>Safeguard is implemented on all assets.</t>
  </si>
  <si>
    <t>CIS Safeguard #</t>
  </si>
  <si>
    <t>CIS Safeguard Title</t>
  </si>
  <si>
    <t>Our Planned Implementation</t>
  </si>
  <si>
    <t>Risk Treatment</t>
  </si>
  <si>
    <t>Reasonable and Acceptable</t>
  </si>
  <si>
    <t>Risk Analysis</t>
  </si>
  <si>
    <t>Required</t>
  </si>
  <si>
    <t>Optional</t>
  </si>
  <si>
    <t>Color Key</t>
  </si>
  <si>
    <t>Meaning</t>
  </si>
  <si>
    <t>For user input. Risk assessors will add values into these columns.</t>
  </si>
  <si>
    <t>For optional user input. Risk assessors may add values into these columns if it's useful to them.</t>
  </si>
  <si>
    <t>Used to evaluate risk acceptance</t>
  </si>
  <si>
    <t>Used to populate "VCDB Index"</t>
  </si>
  <si>
    <t>Color</t>
  </si>
  <si>
    <t>Safeguard Maturity Score</t>
  </si>
  <si>
    <t>Risk Treatment Safeguard Maturity Score</t>
  </si>
  <si>
    <t>Used for "Safeguard Maturity Score" and "Risk Treatment Safeguard Maturity Score"</t>
  </si>
  <si>
    <t>Maturity Scores</t>
  </si>
  <si>
    <t>Risk Treatment Option</t>
  </si>
  <si>
    <t>Safeguard is tested and inconsistencies are corrected.</t>
  </si>
  <si>
    <t>Safeguard has mechanisms that ensure consistent implementation over time.</t>
  </si>
  <si>
    <t>1. Negligible</t>
  </si>
  <si>
    <t>2. Acceptable</t>
  </si>
  <si>
    <t>3. Unacceptable</t>
  </si>
  <si>
    <t>4. High</t>
  </si>
  <si>
    <t>5. Catastrophic</t>
  </si>
  <si>
    <t>Acceptable</t>
  </si>
  <si>
    <t>Unacceptable</t>
  </si>
  <si>
    <t>High</t>
  </si>
  <si>
    <t>What observable evidence would you have that your mission - as you defined it above - would be unaffected?</t>
  </si>
  <si>
    <t>What observable evidence would you have that your mission would be compromised, but it would not require correction?</t>
  </si>
  <si>
    <t>What observable evidence would you have that your mission would be compromised so badly that extraordinary efforts would be required to restore it?</t>
  </si>
  <si>
    <t>What observable evidence would you have that your mission would be compromised in a way that would require correction, but the correction could be achieved through the normal course of business?</t>
  </si>
  <si>
    <t>Catastrophic</t>
  </si>
  <si>
    <t>What business or organizational goals does the enterprise attempt to achieve?</t>
  </si>
  <si>
    <t>What are the unexpected cost outlays that your enterprise could or could not tolerate?</t>
  </si>
  <si>
    <t>What observable evidence would you have that your operational objectives - as you defined them above - would be unaffected?</t>
  </si>
  <si>
    <t>What observable evidence would you have that your operational objectives would be compromised, but it would not require correction?</t>
  </si>
  <si>
    <t>What observable evidence would you have that your operational objectives would be compromised in a way that would require correction, but the correction could be achieved through the normal course of business?</t>
  </si>
  <si>
    <t>What observable evidence would you have that your operational objectives would be compromised so badly that extraordinary efforts would be required to restore them?</t>
  </si>
  <si>
    <t>What observable evidence would you have that your financial objectives - as you defined them above - would be unaffected?</t>
  </si>
  <si>
    <t>What observable evidence would you have that your financial objectives would be compromised, but it would not require correction?</t>
  </si>
  <si>
    <t>What observable evidence would you have that your financial objectives would be compromised in a way that would require correction, but the correction could be achieved through the normal course of business?</t>
  </si>
  <si>
    <t>What observable evidence would you have that your financial objectives would be compromised so badly that extraordinary efforts would be required to restore them?</t>
  </si>
  <si>
    <t>Prompt</t>
  </si>
  <si>
    <t>Negligible</t>
  </si>
  <si>
    <t>Financial Objectives Impact</t>
  </si>
  <si>
    <t>Enterprise Risk Assessment Criteria</t>
  </si>
  <si>
    <t>Utilize Automated Software Inventory Tools</t>
  </si>
  <si>
    <t>Allowlist Authorized Software</t>
  </si>
  <si>
    <t>Allowlist Authorized Libraries</t>
  </si>
  <si>
    <t>Perform Automated Vulnerability Scans of Internal Enterprise Assets</t>
  </si>
  <si>
    <t>Perform Automated Vulnerability Scans of Externally-Exposed Enterprise Assets</t>
  </si>
  <si>
    <t>Remediate Detected Vulnerabilities</t>
  </si>
  <si>
    <t>Restrict Unnecessary or Unauthorized Browser and Email Client Extensions</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</si>
  <si>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</si>
  <si>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</si>
  <si>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</si>
  <si>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</si>
  <si>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</si>
  <si>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</si>
  <si>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Separate Production and Non-Production Systems</t>
  </si>
  <si>
    <t>Train Developers in Application Security Concepts and Secure Coding</t>
  </si>
  <si>
    <t>Apply Secure Design Principles in Application Architectures</t>
  </si>
  <si>
    <t>Leverage Vetted Modules or Services for Application Security Components</t>
  </si>
  <si>
    <t>Establish and Maintain a Data Classification Scheme</t>
  </si>
  <si>
    <t>Document Data Flows</t>
  </si>
  <si>
    <t>Encrypt Data on Removable Media</t>
  </si>
  <si>
    <t>Encrypt Sensitive Data in Transit</t>
  </si>
  <si>
    <t>Encrypt Sensitive Data at Rest</t>
  </si>
  <si>
    <t>Test Data Recovery</t>
  </si>
  <si>
    <t>Utilize an Active Discovery Tool</t>
  </si>
  <si>
    <t>Use Dynamic Host Configuration Protocol (DHCP) Logging to Update Enterprise Asset Inventory</t>
  </si>
  <si>
    <t>Uninstall or Disable Unnecessary Services on Enterprise Assets and Software</t>
  </si>
  <si>
    <t>Configure Trusted DNS Servers on Enterprise Assets</t>
  </si>
  <si>
    <t>Enforce Automatic Device Lockout on Portable End-User Devices</t>
  </si>
  <si>
    <t>Enforce Remote Wipe Capability on Portable End-User Devices</t>
  </si>
  <si>
    <t>Collect Command-Line Audit Logs</t>
  </si>
  <si>
    <t>Configure Automatic Anti-Malware Scanning of Removable Media</t>
  </si>
  <si>
    <t>Enable Anti-Exploitation Features</t>
  </si>
  <si>
    <t>Centrally Manage Anti-Malware Software</t>
  </si>
  <si>
    <t>Use Behavior-Based Anti-Malware Software</t>
  </si>
  <si>
    <t>Ensure Remote Devices Utilize a VPN and are Connecting to an Enterprise’s AAA Infrastructure</t>
  </si>
  <si>
    <t>Deploy a Host-Based Intrusion Detection Solution</t>
  </si>
  <si>
    <t>Manage Access Control for Remote Assets</t>
  </si>
  <si>
    <t>Conduct Role-Specific Security Awareness and Skills Training</t>
  </si>
  <si>
    <t>Establish and Maintain a Service Provider Management Policy</t>
  </si>
  <si>
    <t>Classify Service Providers</t>
  </si>
  <si>
    <t>Ensure Service Provider Contracts Include Security Requirements</t>
  </si>
  <si>
    <t>Establish and Maintain an Incident Response Process</t>
  </si>
  <si>
    <t>Assign Key Roles and Responsibilities</t>
  </si>
  <si>
    <t>Define Mechanisms for Communicating During Incident Response</t>
  </si>
  <si>
    <t>Conduct Routine Incident Response Exercises</t>
  </si>
  <si>
    <t>Conduct Post-Incident Reviews</t>
  </si>
  <si>
    <t>Establish and Maintain a Penetration Testing Program</t>
  </si>
  <si>
    <t>Segment Data Processing and Storage Based on Sensitivity</t>
  </si>
  <si>
    <t>Standardize Time Synchronization</t>
  </si>
  <si>
    <t>Collect Detailed Audit Logs</t>
  </si>
  <si>
    <t>Collect DNS Query Audit Logs</t>
  </si>
  <si>
    <t>Collect URL Request Audit Logs</t>
  </si>
  <si>
    <t>Centralize Audit Logs</t>
  </si>
  <si>
    <t>Retain Audit Logs</t>
  </si>
  <si>
    <t>Conduct Audit Log Reviews</t>
  </si>
  <si>
    <t>Maintain and Enforce Network-Based URL Filters</t>
  </si>
  <si>
    <t>Implement DMARC</t>
  </si>
  <si>
    <t>Block Unnecessary File Types</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</si>
  <si>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</si>
  <si>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</si>
  <si>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</si>
  <si>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</si>
  <si>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</si>
  <si>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Centralize Security Event Alerting</t>
  </si>
  <si>
    <t>Deploy a Network Intrusion Detection Solution</t>
  </si>
  <si>
    <t>Perform Traffic Filtering Between Network Segments</t>
  </si>
  <si>
    <t xml:space="preserve">Collect Network Traffic Flow Logs </t>
  </si>
  <si>
    <t>Perform Periodic External Penetration Tests</t>
  </si>
  <si>
    <t>Remediate Penetration Test Findings</t>
  </si>
  <si>
    <t>Establish and Maintain an Inventory of Service Accounts</t>
  </si>
  <si>
    <t>Centralize Account Management</t>
  </si>
  <si>
    <t>Establish and Maintain an Inventory of Authentication and Authorization Systems</t>
  </si>
  <si>
    <t>Centralize Access Control</t>
  </si>
  <si>
    <t>Establish and Manage an Inventory of Third-Party Software Components</t>
  </si>
  <si>
    <t>Criteria</t>
  </si>
  <si>
    <t>Remote</t>
  </si>
  <si>
    <t>Unlikely</t>
  </si>
  <si>
    <t>As likely as not</t>
  </si>
  <si>
    <t>Likely</t>
  </si>
  <si>
    <t>Certain</t>
  </si>
  <si>
    <t>Impact</t>
  </si>
  <si>
    <t>Acceptable Risk is less than …</t>
  </si>
  <si>
    <t>To maintain our market position as the best custom widgets manufacturer.</t>
  </si>
  <si>
    <t>Impact Magnitude</t>
  </si>
  <si>
    <t>All orders would be produced within specifications and on time and without unplanned effort.</t>
  </si>
  <si>
    <t>We could not meet our mission.</t>
  </si>
  <si>
    <t>All orders would be produced within specifications and on time, but some may require unplanned effort to stay within tolerance metrics.</t>
  </si>
  <si>
    <t>Few orders each quarter (outside of our tolerance metrics) may miss targets, but could be corrected with adjustments or discounts.</t>
  </si>
  <si>
    <t xml:space="preserve">We would repeatedly miss targets outside of tolerance metrics, requiring regular adjustments or discounts per quarter, or would require significant re-investment to operate regularly within our tolerance metrics. </t>
  </si>
  <si>
    <t>To achieve our profit goals each year.</t>
  </si>
  <si>
    <t>Leave this blank</t>
  </si>
  <si>
    <t>Ranked as #1 in all categories in annual "Custom Widget World" Magazine poll.</t>
  </si>
  <si>
    <t>Ranked as #1 in only one category of "Custom Widget World" Magazine poll for only one year.</t>
  </si>
  <si>
    <t>Not ranked #1 in any category of "Custom Widget World" Magazine poll for one year.</t>
  </si>
  <si>
    <t>Not ranked in top three in any category of "Custom Widget World" Magazine poll for two years or more.</t>
  </si>
  <si>
    <t>Unable to rank well in annual "Custom Widget World" Magazine poll.</t>
  </si>
  <si>
    <t>Describe a condition where one or few others would be harmed to a degree that you could correct.</t>
  </si>
  <si>
    <t>To protect our customers from harm due to loss of their intellectual property.</t>
  </si>
  <si>
    <t>Describe a condition where others would not be harmed.</t>
  </si>
  <si>
    <t>Asset Name</t>
  </si>
  <si>
    <t>Automated or fixed values on the Risk Analysis side of the Risk Register. While the worksheet is in protected mode, these values cannot be changed.</t>
  </si>
  <si>
    <t>Automated or fixed values on the Risk Treatment side of the Risk Register. While the worksheet is in protected mode, these values cannot be changed.</t>
  </si>
  <si>
    <t>Title</t>
  </si>
  <si>
    <t>The unique CIS Safeguard identifier, as published in the CIS Controls.</t>
  </si>
  <si>
    <t>The title of the CIS Safeguard, as published in the CIS Controls.</t>
  </si>
  <si>
    <t>The asset class, as published in the CIS Controls.</t>
  </si>
  <si>
    <t>A score of '1' through '5' designating the reliability of a Safeguard's effectiveness against threats.</t>
  </si>
  <si>
    <t>An automatically calculated value to represent how common the related threat is as a cause for reported cybersecurity incidents.</t>
  </si>
  <si>
    <t>The magnitude of harm that a successful threat would cause to your Mission.</t>
  </si>
  <si>
    <t>The magnitude of harm that a successful threat would cause to your Operational Objectives.</t>
  </si>
  <si>
    <t>The magnitude of harm that a successful threat would cause to your Obligations.</t>
  </si>
  <si>
    <t>A statement about whether the enterprise will accept or reduce the risk.</t>
  </si>
  <si>
    <t>The description of the CIS Safeguard, as published in the CIS Controls.</t>
  </si>
  <si>
    <t>A brief description of how the Safeguard will be implemented and operated in the enterprise.</t>
  </si>
  <si>
    <t>A score of '1' through '5' designating the planned reliability of a Safeguard's effectiveness against threats.</t>
  </si>
  <si>
    <t>An automatically calculated value to represent how commonly the related threat would be the cause of a cybersecurity incident, given the planned Safeguard.</t>
  </si>
  <si>
    <t>A determination of whether the planned Safeguard is reasonable and acceptable.</t>
  </si>
  <si>
    <t>An estimate of how much the Safeguard is expected to cost.</t>
  </si>
  <si>
    <t>When the Safeguard is planned for completion of implementation (which quarter).</t>
  </si>
  <si>
    <t>When the Safeguard is planned for completion of implementation (which year).</t>
  </si>
  <si>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mission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</si>
  <si>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operational objectives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</si>
  <si>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financial objectives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</si>
  <si>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obligations (harm, to others)  were acceptable, or unacceptable.</t>
    </r>
  </si>
  <si>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</si>
  <si>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</si>
  <si>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</si>
  <si>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DHCP logging on all DHCP servers or Internet Protocol (IP) address management tools to update the enterprise’s asset inventory. Review and use logs to update the enterprise’s asset inventory weekly, or more frequently.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</si>
  <si>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</si>
  <si>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</si>
  <si>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Ensure that unauthorized software is either removed from use on enterprise assets or receives a documented exception. Review monthly, or more frequently.</t>
  </si>
  <si>
    <t xml:space="preserve">Utilize software inventory tools, when possible, throughout the enterprise to automate the discovery and documentation of installed software. </t>
  </si>
  <si>
    <t>Use technical controls, such as application allowlisting, to ensure that only authorized software can execute or be accessed. Reassess bi-annually,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</si>
  <si>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</si>
  <si>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</si>
  <si>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</si>
  <si>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Configure data access control lists based on a user’s need to know. Apply data access control lists, also known as access permissions, to local and remote file systems, databases, and applications.</t>
  </si>
  <si>
    <t>Retain data according to the enterprise’s data management process. Data retention must include both minimum and maximum timelines.</t>
  </si>
  <si>
    <t>Securely dispose of data as outlined in the enterprise’s data management process. Ensure the disposal process and method are commensurate with the data sensitivity.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</si>
  <si>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</si>
  <si>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</si>
  <si>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</si>
  <si>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</si>
  <si>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sensitive data in transit. Example implementations can include: Transport Layer Security (TLS) and Open Secure Shell (OpenSSH).</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</si>
  <si>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</si>
  <si>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Segment data processing and storage based on the sensitivity of the data. Do not process sensitive data on enterprise assets intended for lower sensitivity data.</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</si>
  <si>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</si>
  <si>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secure configuration process for network devices. Review and update documentation annually, or when significant enterprise changes occur that could impact this Safeguard.</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</si>
  <si>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</si>
  <si>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</si>
  <si>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host-based firewall or port-filtering tool on end-user devices, with a default-deny rule that drops all traffic except those services and ports that are explicitly allowed.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</si>
  <si>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</si>
  <si>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</si>
  <si>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 such as an unused file sharing service, web application module, or service function.</t>
  </si>
  <si>
    <t xml:space="preserve">Configure trusted DNS servers on enterprise assets. Example implementations include: configuring assets to use enterprise-controlled DNS servers and/or reputable externally accessible DNS servers. </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</si>
  <si>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</si>
  <si>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</si>
  <si>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</si>
  <si>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MFA and a 14-character password for accounts not using MFA. </t>
  </si>
  <si>
    <t>Delete or disable any dormant accounts after a period of 45 days of inactivity, where supported.</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</si>
  <si>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</si>
  <si>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</si>
  <si>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 through a directory or identity service.</t>
  </si>
  <si>
    <t>Establish and follow a process, preferably automated, for granting access to enterprise assets upon new hire, rights grant, or role change of a user.</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</si>
  <si>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</si>
  <si>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</si>
  <si>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</si>
  <si>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all administrative access accounts, where supported, on all enterprise assets, whether managed on-site or through a third-party provider.</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</si>
  <si>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</si>
  <si>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</si>
  <si>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</si>
  <si>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</si>
  <si>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</si>
  <si>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application updates on enterprise assets through automated patch management on a monthly, or more frequent, basis.</t>
  </si>
  <si>
    <t>Perform automated vulnerability scans of internal enterprise assets on a quarterly, or more frequent, basis. Conduct both authenticated and unauthenticated scans, using a SCAP-compliant vulnerability scanning tool.</t>
  </si>
  <si>
    <t xml:space="preserve">Perform automated vulnerability scans of externally-exposed enterprise assets using a SCAP-compliant vulnerability scanning tool. Perform scans on a monthly, or more frequent, basis. </t>
  </si>
  <si>
    <t>Remediate detected vulnerabilities in software through processes and tooling on a monthly, or more frequent, basis, based on the remediation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</si>
  <si>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</si>
  <si>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</si>
  <si>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</si>
  <si>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</si>
  <si>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</si>
  <si>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</si>
  <si>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</si>
  <si>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</si>
  <si>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Centralize, to the extent possible, audit log collection and retention across enterprise assets.</t>
  </si>
  <si>
    <t>Retain audit logs across enterprise assets for a minimum of 90 days.</t>
  </si>
  <si>
    <t>Conduct reviews of audit logs to detect anomalies or abnormal events that could indicate a potential threat. Conduct reviews on a weekly, or more frequent, basis.</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</si>
  <si>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</si>
  <si>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</si>
  <si>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</si>
  <si>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</si>
  <si>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</si>
  <si>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</si>
  <si>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Deploy and maintain anti-malware software on all enterprise assets.</t>
  </si>
  <si>
    <t>Configure automatic updates for anti-malware signature files on all enterprise assets.</t>
  </si>
  <si>
    <t>Disable autorun and autoplay auto-execute functionality for removable media.</t>
  </si>
  <si>
    <t>Configure anti-malware software to automatically scan removable media.</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</si>
  <si>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</si>
  <si>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</si>
  <si>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</si>
  <si>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</si>
  <si>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</si>
  <si>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</si>
  <si>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</si>
  <si>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</si>
  <si>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</si>
  <si>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 A secure network architecture must address segmentation, least privilege, and availability, at a minimum.</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</si>
  <si>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</si>
  <si>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</si>
  <si>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</si>
  <si>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</si>
  <si>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</si>
  <si>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</si>
  <si>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 on enterprise assets, where appropriate and/or supported.</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</si>
  <si>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</si>
  <si>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 where appropriate.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</si>
  <si>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</si>
  <si>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Collect network traffic flow logs and/or network traffic to review and alert upon from network devices.</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</si>
  <si>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</si>
  <si>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 such as phishing, pre-texting, and tailgating. </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</si>
  <si>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</si>
  <si>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</si>
  <si>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to be aware of causes for unintentional data exposure. Example topics include mis-delivery of sensitive data, losing a portable end-user device, or publishing data to unintended audiences.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</si>
  <si>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</si>
  <si>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</si>
  <si>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</si>
  <si>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</si>
  <si>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</si>
  <si>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</si>
  <si>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</si>
  <si>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</si>
  <si>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</si>
  <si>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</si>
  <si>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</si>
  <si>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</si>
  <si>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</si>
  <si>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</si>
  <si>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</si>
  <si>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Maintain separate environments for production and non-production systems.</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</si>
  <si>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</si>
  <si>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</si>
  <si>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</si>
  <si>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</si>
  <si>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</si>
  <si>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</si>
  <si>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</si>
  <si>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</si>
  <si>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</si>
  <si>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</si>
  <si>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</si>
  <si>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</si>
  <si>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</si>
  <si>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 based on the enterprise’s policy for remediation scope and prioritization.</t>
  </si>
  <si>
    <t>IG1</t>
  </si>
  <si>
    <t>IG2</t>
  </si>
  <si>
    <t>x</t>
  </si>
  <si>
    <t>Risk Treatment Safeguard Impact to Financial Objectives</t>
  </si>
  <si>
    <t>Reasonable Annual Cost</t>
  </si>
  <si>
    <t>All data on this page is considered sample data only, and not meant to reflect an individual organization's risk register. Only to be used for demonstration purposes.</t>
  </si>
  <si>
    <t>Asset Classes</t>
  </si>
  <si>
    <t>Used to associate Safeguards with Asset Classes</t>
  </si>
  <si>
    <t>Expectancy Criteria</t>
  </si>
  <si>
    <t>Expectancy Score</t>
  </si>
  <si>
    <t>Expectancy</t>
  </si>
  <si>
    <t>Vulnerabilities</t>
  </si>
  <si>
    <t>CIS Safeguard #2</t>
  </si>
  <si>
    <t>Risk Treatment
Safeguard Expectancy Score</t>
  </si>
  <si>
    <t>The product of the Expectancy and the highest of the three Impacts.</t>
  </si>
  <si>
    <t>The product of the Expectancy and the highest of the three impacts, given the planned Safeguard.</t>
  </si>
  <si>
    <t>Expectancy Scores</t>
  </si>
  <si>
    <t>Used for "Expectancy Score" and "Risk Treatment Safeguard Expectancy Score"</t>
  </si>
  <si>
    <t>Our Implementation</t>
  </si>
  <si>
    <t>Shell scripting tools and compilers are permitted, but we have no way of validating scripts, or side-loaded applications.</t>
  </si>
  <si>
    <t>None observed</t>
  </si>
  <si>
    <t>Shell scripting tools are permitted, but we have no way of validating scripts, or uninstalled applications.</t>
  </si>
  <si>
    <t xml:space="preserve">End-user systems and servers are built using images that we developed for business purposes and for minimum use (fewest processes, services, and applications). </t>
  </si>
  <si>
    <t>We use ACME Hunter to scan for vulnerabilities on all systems on a weekly basis.</t>
  </si>
  <si>
    <t>The Ops team reviews all vulnerabilities, but does not resolve vulnerabilities that are out of our control, or that would "break" systems.</t>
  </si>
  <si>
    <t>ACME's Ops team remediates vulnerabilities that they are certain will not compromise system performance.</t>
  </si>
  <si>
    <t>We use AppXYZControl that monitors for applications installed on all servers and end-user systems.</t>
  </si>
  <si>
    <t>AppXYZControl validates that installed applications are currently supported, and that current versions are implemented.</t>
  </si>
  <si>
    <t>AppXYZControl identifies installed applications that were not permitted and alerts the Ops team. Ops team removes unapproved applications within five business days.</t>
  </si>
  <si>
    <t>AppXYZControl identifies applications after they were installed. We are not preventing unauthorized applications from being installed.</t>
  </si>
  <si>
    <t>AppXYZControl uses a list of approved software libraries in its scans and identified installed applications that are not on that list.</t>
  </si>
  <si>
    <t>Fabricore</t>
  </si>
  <si>
    <t>Permit script engines on only systems administrator computers.</t>
  </si>
  <si>
    <t>Q2</t>
  </si>
  <si>
    <t>Reduce</t>
  </si>
  <si>
    <t>Accept</t>
  </si>
  <si>
    <t>Example Manufacturer</t>
  </si>
  <si>
    <t>Evidence of Implementation</t>
  </si>
  <si>
    <t>How would you concisely describe the benefit that your enterprise provides your customers, clients, constituents, or the public? This is why they engage in this risk with you.</t>
  </si>
  <si>
    <t>Response</t>
  </si>
  <si>
    <t>What observable evidence would you have that your mission would be compromised so badly that it could not be achieved?</t>
  </si>
  <si>
    <t>What observable evidence would you have that your operational objectives would be compromised so badly that they could not be achieved?</t>
  </si>
  <si>
    <t>What harm may foreseeably come to others as a result of a cybersecurity incident?</t>
  </si>
  <si>
    <t>Describe a condition where others would not be harmed to a degree that required correction or compensation.</t>
  </si>
  <si>
    <t>Describe a condition where many others would be harmed to a degree that you could correct, or where few others are harmed to a degree that others would always have a small degree of impairment.</t>
  </si>
  <si>
    <t>Describe a condition where others would be irreparably harmed.</t>
  </si>
  <si>
    <t>Safeguard would reliably prevent the threat.</t>
  </si>
  <si>
    <t>Safeguard would reliably prevent most occurrences of the threat.</t>
  </si>
  <si>
    <t>Safeguard would prevent as many threat occurrences as it would miss.</t>
  </si>
  <si>
    <t>Safeguard would prevent few threat occurrences.</t>
  </si>
  <si>
    <t>Safeguard would not prevent threat occurrences.</t>
  </si>
  <si>
    <t>We would start to invest against risks to prevent this expectancy and impact, or higher.</t>
  </si>
  <si>
    <t>What is the highest impact to the Mission, Operational Objectives, Financial Objectives, and Obligations that each Asset Type could cause? 
The "Enterprise" Asset Class will automatically use the highest Impact Score you provide for the assets below.</t>
  </si>
  <si>
    <t>Reliably produce just-in-time, custom widgets that meet demanding resiliency and design specifications, and within market-leading turnaround times.</t>
  </si>
  <si>
    <t>All data on this page is considered sample data only, and not meant to reflect any one individual organization's Impact Criteria Survey. Only to be used for demonstration purposes.</t>
  </si>
  <si>
    <t>No customer would suffer a loss of competitive advantage.</t>
  </si>
  <si>
    <t>One or few customers may be concerned about potential loss of competitive advantage, but no harm would result.</t>
  </si>
  <si>
    <t>One or few customers would suffer minor loss of competitive advantage, but they could be made whole within a fiscal year.</t>
  </si>
  <si>
    <t>Many customers would suffer minor loss of competitive advantage, or one to few customers would suffer harm that would require significant business investment or planning to recover.</t>
  </si>
  <si>
    <t xml:space="preserve">We would not be able to protect our customers from losses due to intellectual property theft. </t>
  </si>
  <si>
    <t>Red</t>
  </si>
  <si>
    <t>Yellow</t>
  </si>
  <si>
    <t>Green</t>
  </si>
  <si>
    <t>Risk Levels</t>
  </si>
  <si>
    <t>Calculated Field</t>
  </si>
  <si>
    <t>Green indicates that the risk evaluates as “acceptable.”</t>
  </si>
  <si>
    <r>
      <t>Red indicates that the risk is “urgent.”</t>
    </r>
    <r>
      <rPr>
        <sz val="8"/>
        <color rgb="FF1B2B38"/>
        <rFont val="Arial"/>
        <family val="2"/>
      </rPr>
      <t> </t>
    </r>
  </si>
  <si>
    <t>Yellow indicates that the risk is “unacceptably high, but not urgent.”</t>
  </si>
  <si>
    <t>Use Default or Custom Responses</t>
  </si>
  <si>
    <t>The Implementation Group, as published in the CIS Controls.</t>
  </si>
  <si>
    <t>A brief description of how the Safeguard is already implemented and operated in the enterprise.</t>
  </si>
  <si>
    <t>The magnitude of harm that a successful threat would cause to your Financial Objectives.</t>
  </si>
  <si>
    <t>An optional field used to input the name of an individual asset to distinguish its risks from other Asset Class risks.</t>
  </si>
  <si>
    <t>An optional field used to record a vulnerability with a specific asset, such as a vulnerability in an application, as an example.</t>
  </si>
  <si>
    <t>Automated or fixed values on the Reasonable Annual Cost side of the Risk Register. While the worksheet is in protected mode, these values cannot be changed.</t>
  </si>
  <si>
    <t xml:space="preserve">The total Risk Treatment Safeguard Cost for the year. </t>
  </si>
  <si>
    <t>The year the total cost was incurred.</t>
  </si>
  <si>
    <t xml:space="preserve">Whether or not the total cost falls above or below the acceptable limit, based on the Acceptable Criteria for the enterprise's Financial Objectives. </t>
  </si>
  <si>
    <t>Permit script scripting tools and compilers on only protected systems administrator computers.</t>
  </si>
  <si>
    <t>Adopt SCAP policies for all devices. Create deployment images for each device and deploy systems using only those images. 
Add SCAP policies to the vulnerability scanning application and scan systems before putting them into production.
Update the SCAP policies quarterly and include all approved changes to the updated policies.</t>
  </si>
  <si>
    <t>Operate a weekly vulnerability review meeting that checks to see if all medium and high vulnerabilities are resolved. Include CIS RAM risk assessment criteria in the meeting to identify reasonable alternatives for vulnerabilities that are difficult to remediate.</t>
  </si>
  <si>
    <t>Operate a weekly vulnerability review meeting that checks to see if all Medium and high vulnerabilities are resolved. Include CIS RAM risk assessment criteria in the meeting to identify reasonable alternatives for vulnerabilities that are difficult to remediate.</t>
  </si>
  <si>
    <t>Used to calculate "Expectancy Score" and "Risk Treatment Safeguard Expectancy Score"</t>
  </si>
  <si>
    <t>An automatically calculated value to represent how commonly the related threat would be the cause of a cybersecurity incident, given your current Safeguard and the reported commonality of the attack.</t>
  </si>
  <si>
    <t>An evaluation of the risk as negligible, acceptable, unacceptable, high, or catastrophic.</t>
  </si>
  <si>
    <t>Monthly scan reports and "diff" reports are located in \\fileserverALPHA\evidence\20211212\2\</t>
  </si>
  <si>
    <t>Monthly exceptions reports are located in \\fileserverALPHA\evidence\20211212\2\.
Tickets for uninstall of unapproved applications are located in \\fileserverALPHA\evidence\20211212\2\.</t>
  </si>
  <si>
    <t>AppXYZControl uses a list of approved software in its scans and identifies installed applications that are not on that list.</t>
  </si>
  <si>
    <t>Monthly exceptions reports are located in \\fileserverALPHA\evidence\20211212\2\.</t>
  </si>
  <si>
    <t>System images are not built from known-secure standards, such as vendor-provided or community-provided SCAP polices.</t>
  </si>
  <si>
    <t>SCAP policy files for each server and workstation type are located in \\fileserverBETA\SCAP\current\.</t>
  </si>
  <si>
    <t>Proof to show how the Safeguard is implemented and operated in the enterprise.</t>
  </si>
  <si>
    <t>We use AppXYZControl that monitors for applications installed on some servers and end-user systems.</t>
  </si>
  <si>
    <t>AppXYZControl validates for some servers and workstations that installed applications are currently supported, and that current versions are implemented.</t>
  </si>
  <si>
    <t>NIST CSF Security Function</t>
  </si>
  <si>
    <t>Mapping between the NIST CSF Security Functions and CIS Safeguards, as published in the CIS Controls.</t>
  </si>
  <si>
    <t>Identify</t>
  </si>
  <si>
    <t>Respond</t>
  </si>
  <si>
    <t>Protect</t>
  </si>
  <si>
    <t>Detect</t>
  </si>
  <si>
    <t>Recover</t>
  </si>
  <si>
    <t>Not Applicable for MIS 595 Course</t>
  </si>
  <si>
    <t>BANK NAME</t>
  </si>
  <si>
    <t>ALL BRANCHES</t>
  </si>
  <si>
    <t>MIS 595 Focused Controls</t>
  </si>
  <si>
    <t>This workbook has been edited to work with the MIS 595 class.  Several columns in the Risk Register were removed to simplify matters.</t>
  </si>
  <si>
    <t>MIS 595 Focus</t>
  </si>
  <si>
    <t>For MIS 595 - we will only focus on a handful of the controls - filtered with column C</t>
  </si>
  <si>
    <t>A small disruption occurs but does not affect customers or the bank’s ability to serve them.</t>
  </si>
  <si>
    <t>Routine work may slow down briefly but returns to normal without extra effort.</t>
  </si>
  <si>
    <t>No harm to customers or partners; no regulatory action required.</t>
  </si>
  <si>
    <t>The bank can still achieve its mission with little or no impact on customer trust</t>
  </si>
  <si>
    <t>The bank must reinvest time or money to fix the situation before it can continue serving customers reliably</t>
  </si>
  <si>
    <t>The bank’s ability to provide services is significantly affected for an extended time.</t>
  </si>
  <si>
    <t>The bank cannot achieve its mission, and customer trust is severely damaged.</t>
  </si>
  <si>
    <t>Minor issues may require small adjustments but no major cost or downtime</t>
  </si>
  <si>
    <t>Operations are disrupted enough that extra resources or overtime work are needed to catch up.</t>
  </si>
  <si>
    <t>Key systems become unavailable, causing major downtime, financial loss, or regulatory concerns.</t>
  </si>
  <si>
    <t>Critical systems fail completely, operations stop, and recovery requires full restoration efforts</t>
  </si>
  <si>
    <t>No harm to customers, and any inconvenience is easily corrected.</t>
  </si>
  <si>
    <t>Customers or partners may experience temporary harm or delayed services, but the harm is fixable.</t>
  </si>
  <si>
    <t>Customers may face real impacts such as delayed transactions, financial stress, or other risks.</t>
  </si>
  <si>
    <t>Harm to customers or partners is long-lasting or not fully correctable; regulators may intervene.</t>
  </si>
  <si>
    <t>Fabella Bank exists to provide secure, reliable, and accessible financial services to customers in the Springfield area. Its mission is to protect customer funds, support financial growth, and maintain trust through safe and modern banking technology.</t>
  </si>
  <si>
    <t>•	Keep banking systems like MYBANK, ERP, ATMs, and mobile apps running smoothly.
•	Protect customer and employee information from unauthorized access.
•	Ensure daily operations such as deposits, withdrawals, loan processing, payroll, and reporting run without disruption.
•	Maintain compliance with financial and cybersecurity regulations.</t>
  </si>
  <si>
    <t>•	Protect customer data (PII, account details, transactions).
•	Ensure fair and uninterrupted access to financial services.
•	Report breaches or outages to regulators when required.
•	Prevent harm to customers, employees, and third-party partners</t>
  </si>
  <si>
    <t>Fabella Bank exists to provide secure, reliable, and accessible financial services to customers in the Springfield area. Its mission is to protect customer funds, support financial growth, and maintain trust through safe and modern banking technology</t>
  </si>
  <si>
    <t>FABELLA BANK</t>
  </si>
  <si>
    <t>No control in place</t>
  </si>
  <si>
    <t>We maintain a centralized asset inventory using automated discovery tools to track all devices across Fabella Bank.</t>
  </si>
  <si>
    <t>Sensitive data stored on bank systems is encrypted using industry-standard AES protocols based on Fabella’s Data Protection Policy.</t>
  </si>
  <si>
    <t>Laptops and portable devices use full-disk encryption enforced through endpoint security tools.</t>
  </si>
  <si>
    <t>Session timeout and automatic lock policies are implemented for all enterprise devices based on our Access Control Policy.</t>
  </si>
  <si>
    <t>Endpoint firewalls are deployed and managed using centralized security software to restrict unauthorized traffic.</t>
  </si>
  <si>
    <t>All enterprise devices and applications are configured to follow hardening standards defined in Fabella’s Secure Configuration Policy.</t>
  </si>
  <si>
    <t>Default accounts are disabled or secured during device provisioning processes.</t>
  </si>
  <si>
    <t>Systems are routinely reviewed to remove unused services and applications to reduce attack surface.</t>
  </si>
  <si>
    <t>Employees must use unique passwords for each system, enforced through the Password Policy and monitored via technical controls.</t>
  </si>
  <si>
    <t>Administrative privileges are assigned only to authorized IT staff, following least-privilege principles</t>
  </si>
  <si>
    <t>User accounts are managed centrally through Active Directory, ensuring consistent enforcement of authentication rules.</t>
  </si>
  <si>
    <t>New user access is provisioned through a formal request and approval workflow aligned with our IAM procedures.</t>
  </si>
  <si>
    <t>User access is removed immediately upon termination or role change through HR-triggered deprovisioning.</t>
  </si>
  <si>
    <t>Remote access requires multi-factor authentication, enforced through the enterprise VPN solution.</t>
  </si>
  <si>
    <t>All privileged administrative accounts require MFA as an added layer of protection.</t>
  </si>
  <si>
    <t>Access permissions are centrally managed in Active Directory to ensure consistent permissions across systems.</t>
  </si>
  <si>
    <t>Fabella Bank performs routine scanning, patching, and reporting as part of its Vulnerability Management Program.</t>
  </si>
  <si>
    <t>Identified vulnerabilities are assigned, tracked, and remediated based on severity and remediation timelines.</t>
  </si>
  <si>
    <t>Operating system updates are deployed automatically using enterprise patch-management tools.</t>
  </si>
  <si>
    <t>Applications receive automated patches through centralized endpoint management platforms.</t>
  </si>
  <si>
    <t>Internal systems undergo automated vulnerability scans on a scheduled basis with results tracked and reviewed.</t>
  </si>
  <si>
    <t>High-risk vulnerabilities are prioritized and remediated in alignment with Fabella’s patching standards.</t>
  </si>
  <si>
    <t>Anti-malware tools are deployed on all devices and centrally monitored to ensure continuous protection.</t>
  </si>
  <si>
    <t>Employees complete mandatory annual security awareness training covering phishing, passwords, and safe practices.</t>
  </si>
  <si>
    <t>Regular phishing simulations and training sessions teach employees how to identify and report social engineering threats.</t>
  </si>
  <si>
    <t>Training includes guidance on strong password creation, MFA use, and secure login behaviors.</t>
  </si>
  <si>
    <t>The IT security team monitors vulnerability disclosures and updates systems as part of Fabella’s patch and update procedure.</t>
  </si>
  <si>
    <t>Dedicated incident response personnel are assigned roles and responsibilities outlined in the IR Plan.</t>
  </si>
  <si>
    <t>Current incident reporting contacts are published on the Fabella intranet and updated regularly.</t>
  </si>
  <si>
    <t>Employees report incidents through a standardized reporting channel managed by the SOC.</t>
  </si>
  <si>
    <t>Fabella follows a documented IR process that includes detection, containment, eradication, and recovery.</t>
  </si>
  <si>
    <t>After each incident, lessons learned are documented and used to improve IR procedures.</t>
  </si>
  <si>
    <t xml:space="preserve">No Vulnerability </t>
  </si>
  <si>
    <t>No automated screen-lock settings exist on portable devices, leaving endpoints exposed when unattended.</t>
  </si>
  <si>
    <t>Devices cannot be remotely wiped if lost or stolen because no mobile device management (MDM) solution is deployed.</t>
  </si>
  <si>
    <t>Externally facing systems are not being scanned for vulnerabilities, resulting in unknown exposure to the internet.</t>
  </si>
  <si>
    <t>Anti-malware tools do not automatically update signatures, allowing outdated threat definitions to persist.</t>
  </si>
  <si>
    <t>Backups are not automated, increasing the risk of incomplete or inconsistent backup sets.</t>
  </si>
  <si>
    <t>Employees have not received training on secure data handling practices, creating gaps in compliance and confidentiality protection.</t>
  </si>
  <si>
    <t>No root cause analysis process exists, allowing recurring vulnerabilities to remain unaddressed.</t>
  </si>
  <si>
    <t>The organization does not conduct periodic IR exercises, reducing team readiness for real incidents.</t>
  </si>
  <si>
    <t>Access is not consistently revoked immediately when employees change roles or leave the organization.</t>
  </si>
  <si>
    <t>Internal vulnerability scans are performed, but results are not consistently reviewed or remediated on schedule.</t>
  </si>
  <si>
    <t>Wednesday, December 10,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</si>
</sst>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quot;$&quot;#,##0"/>
    <numFmt numFmtId="166" formatCode="[$-F800]dddd\,\ mmmm\ dd\,\ yyyy"/>
  </numFmts>
  <fonts count="30">
    <font>
      <sz val="11"/>
      <color theme="1"/>
      <name val="Calibri"/>
      <family val="2"/>
      <scheme val="minor"/>
    </font>
    <font>
      <sz val="11"/>
      <color theme="1"/>
      <name val="Arial"/>
      <family val="2"/>
    </font>
    <font>
      <sz val="11"/>
      <color theme="1"/>
      <name val="Calibri"/>
      <family val="2"/>
      <scheme val="minor"/>
    </font>
    <font>
      <b/>
      <sz val="10"/>
      <color theme="0"/>
      <name val="Arial"/>
      <family val="2"/>
    </font>
    <font>
      <b/>
      <sz val="10"/>
      <color theme="1"/>
      <name val="Arial"/>
      <family val="2"/>
    </font>
    <font>
      <sz val="10"/>
      <color theme="1"/>
      <name val="Arial"/>
      <family val="2"/>
    </font>
    <font>
      <b/>
      <i/>
      <u/>
      <sz val="10"/>
      <color rgb="FF7030A0"/>
      <name val="Arial"/>
      <family val="2"/>
    </font>
    <font>
      <b/>
      <sz val="10"/>
      <color rgb="FF7030A0"/>
      <name val="Arial"/>
      <family val="2"/>
    </font>
    <font>
      <sz val="10"/>
      <color rgb="FF000000"/>
      <name val="Arial"/>
      <family val="2"/>
    </font>
    <font>
      <i/>
      <sz val="10"/>
      <color rgb="FF000000"/>
      <name val="Arial"/>
      <family val="2"/>
    </font>
    <font>
      <i/>
      <sz val="10"/>
      <name val="Arial"/>
      <family val="2"/>
    </font>
    <font>
      <b/>
      <i/>
      <u/>
      <sz val="10"/>
      <color rgb="FF000000"/>
      <name val="Arial"/>
      <family val="2"/>
    </font>
    <font>
      <b/>
      <sz val="11"/>
      <color theme="1"/>
      <name val="Arial"/>
      <family val="2"/>
    </font>
    <font>
      <sz val="11"/>
      <color theme="1"/>
      <name val="Arial"/>
      <family val="2"/>
    </font>
    <font>
      <b/>
      <sz val="12"/>
      <color theme="1"/>
      <name val="Arial"/>
      <family val="2"/>
    </font>
    <font>
      <b/>
      <i/>
      <sz val="10"/>
      <color theme="0"/>
      <name val="Arial"/>
      <family val="2"/>
    </font>
    <font>
      <sz val="12"/>
      <color theme="1"/>
      <name val="Arial"/>
      <family val="2"/>
    </font>
    <font>
      <i/>
      <sz val="10"/>
      <color theme="1"/>
      <name val="Arial"/>
      <family val="2"/>
    </font>
    <font>
      <b/>
      <sz val="12"/>
      <color rgb="FFFF0000"/>
      <name val="Arial"/>
      <family val="2"/>
    </font>
    <font>
      <i/>
      <sz val="11"/>
      <color theme="1"/>
      <name val="Arial"/>
      <family val="2"/>
    </font>
    <font>
      <sz val="4"/>
      <color theme="1"/>
      <name val="Arial"/>
      <family val="2"/>
    </font>
    <font>
      <b/>
      <i/>
      <sz val="10"/>
      <color theme="1"/>
      <name val="Arial"/>
      <family val="2"/>
    </font>
    <font>
      <sz val="8"/>
      <color rgb="FF1B2B38"/>
      <name val="Arial"/>
      <family val="2"/>
    </font>
    <font>
      <sz val="8"/>
      <name val="Calibri"/>
      <family val="2"/>
      <scheme val="minor"/>
    </font>
    <font>
      <b/>
      <sz val="11"/>
      <color theme="0"/>
      <name val="Arial"/>
      <family val="2"/>
    </font>
    <font>
      <b/>
      <sz val="12"/>
      <color theme="0"/>
      <name val="Arial"/>
      <family val="2"/>
    </font>
    <font>
      <sz val="9"/>
      <color indexed="81"/>
      <name val="Tahoma"/>
      <family val="2"/>
    </font>
    <font>
      <sz val="12"/>
      <color theme="1"/>
      <name val="Calibri"/>
      <family val="2"/>
      <scheme val="minor"/>
    </font>
    <font>
      <u/>
      <sz val="12"/>
      <color theme="10"/>
      <name val="Calibri"/>
      <family val="2"/>
      <scheme val="minor"/>
    </font>
    <font>
      <b/>
      <sz val="11"/>
      <color theme="1"/>
      <name val="Calibri"/>
      <family val="2"/>
      <scheme val="minor"/>
    </font>
  </fonts>
  <fills count="19">
    <fill>
      <patternFill patternType="none"/>
    </fill>
    <fill>
      <patternFill patternType="gray125"/>
    </fill>
    <fill>
      <patternFill patternType="solid">
        <fgColor theme="3"/>
        <bgColor indexed="64"/>
      </patternFill>
    </fill>
    <fill>
      <patternFill patternType="solid">
        <fgColor rgb="FF00B050"/>
        <bgColor indexed="64"/>
      </patternFill>
    </fill>
    <fill>
      <patternFill patternType="solid">
        <fgColor rgb="FF92D050"/>
        <bgColor indexed="64"/>
      </patternFill>
    </fill>
    <fill>
      <patternFill patternType="solid">
        <fgColor rgb="FF002060"/>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A391F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4"/>
        <bgColor indexed="64"/>
      </patternFill>
    </fill>
    <fill>
      <patternFill patternType="solid">
        <fgColor theme="0"/>
        <bgColor indexed="64"/>
      </patternFill>
    </fill>
    <fill>
      <patternFill patternType="solid">
        <fgColor rgb="FFF2F2F2"/>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indexed="64"/>
      </right>
      <top style="thin">
        <color indexed="64"/>
      </top>
      <bottom/>
      <diagonal/>
    </border>
    <border>
      <left/>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theme="4" tint="0.39997558519241921"/>
      </right>
      <top style="thin">
        <color theme="4" tint="0.3999755851924192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bottom style="thick">
        <color theme="0"/>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right style="thin">
        <color indexed="64"/>
      </right>
      <top/>
      <bottom style="thin">
        <color indexed="64"/>
      </bottom>
      <diagonal/>
    </border>
    <border>
      <left style="thin">
        <color indexed="64"/>
      </left>
      <right/>
      <top/>
      <bottom style="thin">
        <color indexed="64"/>
      </bottom>
      <diagonal/>
    </border>
    <border>
      <left style="thin">
        <color theme="1"/>
      </left>
      <right style="thin">
        <color theme="1"/>
      </right>
      <top/>
      <bottom style="thin">
        <color theme="1"/>
      </bottom>
      <diagonal/>
    </border>
    <border>
      <left style="thin">
        <color indexed="64"/>
      </left>
      <right style="medium">
        <color indexed="64"/>
      </right>
      <top style="thin">
        <color indexed="64"/>
      </top>
      <bottom style="medium">
        <color indexed="64"/>
      </bottom>
      <diagonal/>
    </border>
    <border>
      <left/>
      <right/>
      <top style="medium">
        <color indexed="64"/>
      </top>
      <bottom style="thin">
        <color theme="0"/>
      </bottom>
      <diagonal/>
    </border>
    <border>
      <left/>
      <right/>
      <top style="thin">
        <color theme="0"/>
      </top>
      <bottom style="thin">
        <color theme="0"/>
      </bottom>
      <diagonal/>
    </border>
    <border>
      <left/>
      <right/>
      <top style="thin">
        <color theme="0"/>
      </top>
      <bottom style="medium">
        <color indexed="64"/>
      </bottom>
      <diagonal/>
    </border>
  </borders>
  <cellStyleXfs count="5">
    <xf numFmtId="0" fontId="0" fillId="0" borderId="0"/>
    <xf numFmtId="9" fontId="2" fillId="0" borderId="0" applyFont="0" applyFill="0" applyBorder="0" applyAlignment="0" applyProtection="0"/>
    <xf numFmtId="44" fontId="2" fillId="0" borderId="0" applyFont="0" applyFill="0" applyBorder="0" applyAlignment="0" applyProtection="0"/>
    <xf numFmtId="0" fontId="27" fillId="0" borderId="0"/>
    <xf numFmtId="0" fontId="28" fillId="0" borderId="0" applyNumberFormat="0" applyFill="0" applyBorder="0" applyAlignment="0" applyProtection="0"/>
  </cellStyleXfs>
  <cellXfs count="229">
    <xf numFmtId="0" fontId="0" fillId="0" borderId="0" xfId="0"/>
    <xf numFmtId="0" fontId="4" fillId="7" borderId="1" xfId="0" applyFont="1" applyFill="1" applyBorder="1" applyAlignment="1">
      <alignment horizontal="left" vertical="center"/>
    </xf>
    <xf numFmtId="0" fontId="5" fillId="0" borderId="0" xfId="0" applyFont="1"/>
    <xf numFmtId="0" fontId="5" fillId="5" borderId="0" xfId="0" applyFont="1" applyFill="1" applyAlignment="1">
      <alignment horizontal="center" vertical="center"/>
    </xf>
    <xf numFmtId="0" fontId="5" fillId="5" borderId="0" xfId="0" applyFont="1" applyFill="1" applyAlignment="1">
      <alignment horizontal="left" vertical="center" wrapText="1"/>
    </xf>
    <xf numFmtId="0" fontId="4" fillId="6" borderId="0" xfId="0" applyFont="1" applyFill="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wrapText="1"/>
    </xf>
    <xf numFmtId="0" fontId="5" fillId="5" borderId="0" xfId="0" applyFont="1" applyFill="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pplyProtection="1">
      <alignment horizontal="left" vertical="center" wrapText="1"/>
      <protection locked="0"/>
    </xf>
    <xf numFmtId="1" fontId="6" fillId="0" borderId="0" xfId="0" applyNumberFormat="1" applyFont="1" applyAlignment="1" applyProtection="1">
      <alignment horizontal="center" vertical="center" wrapText="1"/>
      <protection locked="0"/>
    </xf>
    <xf numFmtId="164" fontId="8" fillId="0" borderId="0" xfId="2" applyNumberFormat="1" applyFont="1" applyFill="1" applyAlignment="1" applyProtection="1">
      <alignment horizontal="center" vertical="center" wrapText="1"/>
      <protection locked="0"/>
    </xf>
    <xf numFmtId="1" fontId="8" fillId="0" borderId="0" xfId="0" applyNumberFormat="1" applyFont="1" applyAlignment="1" applyProtection="1">
      <alignment horizontal="center" vertical="center" wrapText="1"/>
      <protection locked="0"/>
    </xf>
    <xf numFmtId="44" fontId="5" fillId="0" borderId="0" xfId="2" applyFont="1" applyAlignment="1">
      <alignment horizontal="right" vertical="center"/>
    </xf>
    <xf numFmtId="0" fontId="5" fillId="5" borderId="0" xfId="0" applyFont="1" applyFill="1"/>
    <xf numFmtId="0" fontId="5" fillId="0" borderId="0" xfId="0" applyFont="1" applyAlignment="1">
      <alignment horizontal="center" vertical="center" wrapText="1"/>
    </xf>
    <xf numFmtId="0" fontId="4" fillId="8" borderId="1" xfId="0" applyFont="1" applyFill="1" applyBorder="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3" fillId="9" borderId="1" xfId="0" applyFont="1" applyFill="1" applyBorder="1" applyAlignment="1">
      <alignment horizontal="center" vertical="center" wrapText="1"/>
    </xf>
    <xf numFmtId="1" fontId="11" fillId="0" borderId="0" xfId="0" applyNumberFormat="1" applyFont="1" applyAlignment="1" applyProtection="1">
      <alignment horizontal="left" vertical="center" wrapText="1"/>
      <protection locked="0"/>
    </xf>
    <xf numFmtId="0" fontId="3" fillId="3" borderId="1" xfId="0" applyFont="1" applyFill="1" applyBorder="1" applyAlignment="1">
      <alignment horizontal="center" vertical="center" wrapText="1"/>
    </xf>
    <xf numFmtId="0" fontId="13" fillId="0" borderId="0" xfId="0" applyFont="1"/>
    <xf numFmtId="0" fontId="3" fillId="6"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0" borderId="1" xfId="0" applyFont="1" applyBorder="1" applyAlignment="1">
      <alignment horizontal="left" vertical="center"/>
    </xf>
    <xf numFmtId="0" fontId="5" fillId="0" borderId="0" xfId="0" applyFont="1" applyAlignment="1">
      <alignment horizontal="center" wrapText="1"/>
    </xf>
    <xf numFmtId="0" fontId="15" fillId="6" borderId="0" xfId="0" applyFont="1" applyFill="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16" fillId="0" borderId="0" xfId="0" applyFont="1"/>
    <xf numFmtId="0" fontId="7" fillId="0" borderId="7" xfId="0" applyFont="1" applyBorder="1" applyAlignment="1">
      <alignment horizontal="center" vertical="center" wrapText="1"/>
    </xf>
    <xf numFmtId="0" fontId="7" fillId="11" borderId="7" xfId="0" applyFont="1" applyFill="1" applyBorder="1" applyAlignment="1">
      <alignment horizontal="center" vertical="center" wrapText="1"/>
    </xf>
    <xf numFmtId="0" fontId="4" fillId="7" borderId="15" xfId="0" applyFont="1" applyFill="1" applyBorder="1" applyAlignment="1">
      <alignment horizontal="left" vertical="center"/>
    </xf>
    <xf numFmtId="0" fontId="4" fillId="7" borderId="16" xfId="0" applyFont="1" applyFill="1" applyBorder="1" applyAlignment="1">
      <alignment horizontal="center" vertical="center"/>
    </xf>
    <xf numFmtId="0" fontId="7" fillId="0" borderId="10" xfId="0" applyFont="1" applyBorder="1" applyAlignment="1">
      <alignment horizontal="center" vertical="center" wrapText="1"/>
    </xf>
    <xf numFmtId="0" fontId="7" fillId="11" borderId="10" xfId="0" applyFont="1" applyFill="1" applyBorder="1" applyAlignment="1">
      <alignment horizontal="center" vertical="center" wrapText="1"/>
    </xf>
    <xf numFmtId="0" fontId="14" fillId="8" borderId="1" xfId="0" applyFont="1" applyFill="1" applyBorder="1" applyAlignment="1">
      <alignment vertical="center"/>
    </xf>
    <xf numFmtId="0" fontId="16" fillId="0" borderId="0" xfId="0" applyFont="1" applyAlignment="1">
      <alignment horizontal="left" vertical="center"/>
    </xf>
    <xf numFmtId="0" fontId="3" fillId="9" borderId="18" xfId="0" applyFont="1" applyFill="1" applyBorder="1" applyAlignment="1">
      <alignment horizontal="center" vertical="center" wrapText="1"/>
    </xf>
    <xf numFmtId="0" fontId="5" fillId="0" borderId="0" xfId="0" applyFont="1" applyAlignment="1" applyProtection="1">
      <alignment horizontal="left" vertical="center"/>
      <protection locked="0"/>
    </xf>
    <xf numFmtId="0" fontId="5" fillId="0" borderId="22" xfId="0" applyFont="1" applyBorder="1" applyAlignment="1">
      <alignment vertical="center" wrapText="1"/>
    </xf>
    <xf numFmtId="0" fontId="5" fillId="0" borderId="23" xfId="0" applyFont="1" applyBorder="1" applyAlignment="1">
      <alignment vertical="center" wrapText="1"/>
    </xf>
    <xf numFmtId="0" fontId="0" fillId="0" borderId="0" xfId="0" applyAlignment="1">
      <alignment wrapText="1"/>
    </xf>
    <xf numFmtId="0" fontId="8" fillId="0" borderId="0" xfId="0" applyFont="1" applyAlignment="1" applyProtection="1">
      <alignment horizontal="center" vertical="center" wrapText="1"/>
      <protection locked="0"/>
    </xf>
    <xf numFmtId="0" fontId="19" fillId="0" borderId="0" xfId="0" applyFont="1" applyAlignment="1">
      <alignment horizontal="left" vertical="center" wrapText="1"/>
    </xf>
    <xf numFmtId="0" fontId="20" fillId="12" borderId="0" xfId="0" applyFont="1" applyFill="1" applyAlignment="1">
      <alignment horizontal="left" vertical="center" wrapText="1"/>
    </xf>
    <xf numFmtId="0" fontId="20" fillId="0" borderId="0" xfId="0" applyFont="1"/>
    <xf numFmtId="0" fontId="5" fillId="0" borderId="0" xfId="0" applyFont="1" applyAlignment="1">
      <alignment horizontal="center"/>
    </xf>
    <xf numFmtId="0" fontId="13" fillId="0" borderId="0" xfId="0" applyFont="1" applyAlignment="1">
      <alignment vertical="center"/>
    </xf>
    <xf numFmtId="0" fontId="12" fillId="0" borderId="0" xfId="0" applyFont="1" applyAlignment="1">
      <alignment horizontal="left" vertical="center" wrapText="1"/>
    </xf>
    <xf numFmtId="0" fontId="20" fillId="0" borderId="0" xfId="0" applyFont="1" applyAlignment="1">
      <alignment vertical="center"/>
    </xf>
    <xf numFmtId="2" fontId="8" fillId="0" borderId="0" xfId="0" applyNumberFormat="1" applyFont="1" applyAlignment="1">
      <alignment horizontal="center" vertical="center" wrapText="1"/>
    </xf>
    <xf numFmtId="15" fontId="5" fillId="0" borderId="0" xfId="0" applyNumberFormat="1" applyFont="1" applyAlignment="1" applyProtection="1">
      <alignment horizontal="left" vertical="center"/>
      <protection locked="0"/>
    </xf>
    <xf numFmtId="0" fontId="5" fillId="12" borderId="0" xfId="0" applyFont="1" applyFill="1" applyAlignment="1">
      <alignment horizontal="left" vertical="center"/>
    </xf>
    <xf numFmtId="0" fontId="5" fillId="12" borderId="0" xfId="0" applyFont="1" applyFill="1" applyAlignment="1">
      <alignment horizontal="left" vertical="center" wrapText="1"/>
    </xf>
    <xf numFmtId="0" fontId="17" fillId="8" borderId="1" xfId="0" applyFont="1" applyFill="1" applyBorder="1" applyAlignment="1">
      <alignment vertical="center" wrapText="1"/>
    </xf>
    <xf numFmtId="0" fontId="5" fillId="0" borderId="6" xfId="0" applyFont="1" applyBorder="1" applyAlignment="1" applyProtection="1">
      <alignment horizontal="center" vertical="center"/>
      <protection locked="0"/>
    </xf>
    <xf numFmtId="0" fontId="5" fillId="0" borderId="12" xfId="0" applyFont="1" applyBorder="1" applyAlignment="1" applyProtection="1">
      <alignment horizontal="center"/>
      <protection locked="0"/>
    </xf>
    <xf numFmtId="0" fontId="9" fillId="0" borderId="0" xfId="0" applyFont="1" applyAlignment="1" applyProtection="1">
      <alignment horizontal="center" vertical="center" wrapText="1"/>
      <protection locked="0"/>
    </xf>
    <xf numFmtId="1" fontId="6" fillId="0" borderId="0" xfId="0" applyNumberFormat="1" applyFont="1" applyAlignment="1">
      <alignment horizontal="center" vertical="center" wrapText="1"/>
    </xf>
    <xf numFmtId="0" fontId="3" fillId="2" borderId="1" xfId="0" applyFont="1" applyFill="1" applyBorder="1" applyAlignment="1">
      <alignment horizontal="left" vertical="center"/>
    </xf>
    <xf numFmtId="14" fontId="5" fillId="0" borderId="0" xfId="0" applyNumberFormat="1" applyFont="1" applyAlignment="1">
      <alignment horizontal="left" vertical="center"/>
    </xf>
    <xf numFmtId="9" fontId="5" fillId="0" borderId="0" xfId="1" applyFont="1" applyAlignment="1" applyProtection="1">
      <alignment horizontal="center" vertical="center"/>
    </xf>
    <xf numFmtId="9" fontId="5" fillId="0" borderId="0" xfId="1" applyFont="1" applyFill="1" applyAlignment="1" applyProtection="1">
      <alignment horizontal="center" vertical="center"/>
    </xf>
    <xf numFmtId="0" fontId="4" fillId="9" borderId="0" xfId="0" applyFont="1" applyFill="1" applyAlignment="1">
      <alignment horizontal="center" vertical="center" wrapText="1"/>
    </xf>
    <xf numFmtId="0" fontId="5" fillId="0" borderId="1" xfId="0" applyFont="1" applyBorder="1" applyAlignment="1" applyProtection="1">
      <alignment horizontal="left" vertical="center"/>
      <protection locked="0"/>
    </xf>
    <xf numFmtId="15" fontId="5" fillId="0" borderId="1" xfId="0" applyNumberFormat="1" applyFont="1" applyBorder="1" applyAlignment="1" applyProtection="1">
      <alignment horizontal="left" vertical="center"/>
      <protection locked="0"/>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24" fillId="5" borderId="5" xfId="0" applyFont="1" applyFill="1" applyBorder="1" applyAlignment="1">
      <alignment horizontal="center" vertical="center" wrapText="1"/>
    </xf>
    <xf numFmtId="0" fontId="5" fillId="0" borderId="18" xfId="0" applyFont="1" applyBorder="1" applyAlignment="1">
      <alignment horizontal="left" vertical="center" wrapText="1"/>
    </xf>
    <xf numFmtId="0" fontId="25" fillId="10" borderId="17"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left" vertical="center" wrapText="1"/>
    </xf>
    <xf numFmtId="0" fontId="1" fillId="5" borderId="0" xfId="0" applyFont="1" applyFill="1" applyAlignment="1">
      <alignment horizontal="center" vertical="center" wrapText="1"/>
    </xf>
    <xf numFmtId="0" fontId="17" fillId="8" borderId="1" xfId="0" applyFont="1" applyFill="1" applyBorder="1" applyAlignment="1">
      <alignment horizontal="left" vertical="center" wrapText="1"/>
    </xf>
    <xf numFmtId="0" fontId="25" fillId="9" borderId="1" xfId="0" applyFont="1" applyFill="1" applyBorder="1" applyAlignment="1">
      <alignment horizontal="center" vertical="center" wrapText="1"/>
    </xf>
    <xf numFmtId="165" fontId="5" fillId="7" borderId="1" xfId="0" applyNumberFormat="1" applyFont="1" applyFill="1" applyBorder="1" applyAlignment="1">
      <alignment horizontal="left" vertical="center" wrapText="1"/>
    </xf>
    <xf numFmtId="0" fontId="24" fillId="5" borderId="24" xfId="0" applyFont="1" applyFill="1" applyBorder="1" applyAlignment="1">
      <alignment horizontal="center" vertical="center" wrapText="1"/>
    </xf>
    <xf numFmtId="0" fontId="12" fillId="7" borderId="1" xfId="0" applyFont="1" applyFill="1" applyBorder="1" applyAlignment="1">
      <alignment horizontal="left" vertical="center"/>
    </xf>
    <xf numFmtId="49" fontId="5" fillId="0" borderId="1" xfId="0" applyNumberFormat="1" applyFont="1" applyBorder="1" applyAlignment="1" applyProtection="1">
      <alignment vertical="center"/>
      <protection locked="0"/>
    </xf>
    <xf numFmtId="0" fontId="5" fillId="0" borderId="1" xfId="0" applyFont="1" applyBorder="1" applyAlignment="1" applyProtection="1">
      <alignment vertical="center"/>
      <protection locked="0"/>
    </xf>
    <xf numFmtId="15" fontId="5" fillId="0" borderId="1" xfId="0" applyNumberFormat="1" applyFont="1" applyBorder="1" applyAlignment="1" applyProtection="1">
      <alignment vertical="center"/>
      <protection locked="0"/>
    </xf>
    <xf numFmtId="0" fontId="14" fillId="8" borderId="1" xfId="0" applyFont="1" applyFill="1" applyBorder="1" applyAlignment="1">
      <alignment horizontal="center" vertical="center"/>
    </xf>
    <xf numFmtId="0" fontId="0" fillId="0" borderId="0" xfId="0" applyAlignment="1">
      <alignment horizontal="center"/>
    </xf>
    <xf numFmtId="0" fontId="24" fillId="4" borderId="25" xfId="0" applyFont="1" applyFill="1" applyBorder="1" applyAlignment="1">
      <alignment horizontal="center" vertical="center" wrapText="1"/>
    </xf>
    <xf numFmtId="0" fontId="24" fillId="6" borderId="14"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4" fillId="6" borderId="26" xfId="0" applyFont="1" applyFill="1" applyBorder="1" applyAlignment="1">
      <alignment horizontal="center" vertical="center" wrapText="1"/>
    </xf>
    <xf numFmtId="0" fontId="4" fillId="0" borderId="4" xfId="0" applyFont="1" applyBorder="1" applyAlignment="1">
      <alignment horizontal="center"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4" fillId="0" borderId="4" xfId="0" applyFont="1" applyBorder="1" applyAlignment="1">
      <alignment horizontal="left" vertical="center"/>
    </xf>
    <xf numFmtId="0" fontId="4" fillId="0" borderId="6" xfId="0" applyFont="1" applyBorder="1" applyAlignment="1">
      <alignment horizontal="left" vertical="center"/>
    </xf>
    <xf numFmtId="0" fontId="12" fillId="7" borderId="12" xfId="0" applyFont="1" applyFill="1" applyBorder="1" applyAlignment="1">
      <alignment horizontal="left" vertical="center"/>
    </xf>
    <xf numFmtId="0" fontId="5" fillId="0" borderId="8" xfId="0" applyFont="1" applyBorder="1" applyAlignment="1">
      <alignment horizontal="left" vertical="center" wrapText="1"/>
    </xf>
    <xf numFmtId="0" fontId="1" fillId="0" borderId="25" xfId="0" applyFont="1" applyBorder="1" applyAlignment="1">
      <alignment horizontal="center" vertical="center"/>
    </xf>
    <xf numFmtId="0" fontId="1" fillId="0" borderId="14" xfId="0" applyFont="1" applyBorder="1" applyAlignment="1">
      <alignment horizontal="center" vertical="center"/>
    </xf>
    <xf numFmtId="0" fontId="1" fillId="0" borderId="26" xfId="0" applyFont="1" applyBorder="1" applyAlignment="1">
      <alignment horizontal="center" vertical="center"/>
    </xf>
    <xf numFmtId="0" fontId="5" fillId="0" borderId="2" xfId="0" applyFont="1" applyBorder="1" applyAlignment="1">
      <alignment vertical="center" wrapText="1"/>
    </xf>
    <xf numFmtId="0" fontId="4" fillId="0" borderId="6" xfId="0" applyFont="1" applyBorder="1" applyAlignment="1">
      <alignment horizontal="center" vertical="center"/>
    </xf>
    <xf numFmtId="0" fontId="5" fillId="0" borderId="8" xfId="0" applyFont="1" applyBorder="1" applyAlignment="1">
      <alignment vertical="center" wrapText="1"/>
    </xf>
    <xf numFmtId="0" fontId="4" fillId="11" borderId="4" xfId="0" applyFont="1" applyFill="1" applyBorder="1" applyAlignment="1">
      <alignment horizontal="left" vertical="center"/>
    </xf>
    <xf numFmtId="0" fontId="4" fillId="11" borderId="1" xfId="0" applyFont="1" applyFill="1" applyBorder="1" applyAlignment="1" applyProtection="1">
      <alignment horizontal="center" vertical="center" wrapText="1"/>
      <protection locked="0"/>
    </xf>
    <xf numFmtId="0" fontId="4" fillId="11" borderId="2"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11" borderId="1" xfId="0" applyFont="1" applyFill="1" applyBorder="1" applyAlignment="1" applyProtection="1">
      <alignment horizontal="center" vertical="center" wrapText="1"/>
      <protection locked="0"/>
    </xf>
    <xf numFmtId="0" fontId="7" fillId="11" borderId="2" xfId="0" applyFont="1" applyFill="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5" fillId="0" borderId="0" xfId="0" applyFont="1" applyAlignment="1">
      <alignment vertical="center"/>
    </xf>
    <xf numFmtId="0" fontId="4" fillId="8" borderId="1" xfId="0" applyFont="1" applyFill="1" applyBorder="1" applyAlignment="1">
      <alignment vertical="center" wrapText="1"/>
    </xf>
    <xf numFmtId="0" fontId="4" fillId="0" borderId="0" xfId="0" applyFont="1" applyAlignment="1">
      <alignment horizontal="left" vertical="center" wrapText="1"/>
    </xf>
    <xf numFmtId="0" fontId="17" fillId="0" borderId="0" xfId="0" applyFont="1" applyAlignment="1">
      <alignment horizontal="left" vertical="center" wrapText="1"/>
    </xf>
    <xf numFmtId="165" fontId="5" fillId="0" borderId="1" xfId="0" applyNumberFormat="1" applyFont="1" applyBorder="1" applyAlignment="1">
      <alignment horizontal="left" vertical="center" wrapText="1"/>
    </xf>
    <xf numFmtId="0" fontId="4" fillId="0" borderId="12" xfId="0" applyFont="1" applyBorder="1" applyAlignment="1">
      <alignment horizontal="left" vertical="center"/>
    </xf>
    <xf numFmtId="0" fontId="24" fillId="13" borderId="4" xfId="0" applyFont="1" applyFill="1" applyBorder="1" applyAlignment="1">
      <alignment horizontal="center" vertical="center"/>
    </xf>
    <xf numFmtId="0" fontId="24" fillId="13" borderId="1" xfId="0" applyFont="1" applyFill="1" applyBorder="1" applyAlignment="1">
      <alignment horizontal="center"/>
    </xf>
    <xf numFmtId="0" fontId="14" fillId="8"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 fillId="0" borderId="0" xfId="0" applyFont="1"/>
    <xf numFmtId="0" fontId="5" fillId="0" borderId="27" xfId="0" applyFont="1" applyBorder="1" applyAlignment="1">
      <alignment horizontal="left" vertical="center" wrapText="1"/>
    </xf>
    <xf numFmtId="0" fontId="12" fillId="7" borderId="1" xfId="0" applyFont="1" applyFill="1" applyBorder="1" applyAlignment="1">
      <alignment horizontal="left" vertical="center" wrapText="1"/>
    </xf>
    <xf numFmtId="0" fontId="12" fillId="7" borderId="12" xfId="0" applyFont="1" applyFill="1" applyBorder="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wrapText="1"/>
    </xf>
    <xf numFmtId="0" fontId="1" fillId="0" borderId="14" xfId="0" applyFont="1" applyBorder="1" applyAlignment="1">
      <alignment horizontal="center" vertical="center" wrapText="1"/>
    </xf>
    <xf numFmtId="0" fontId="1" fillId="0" borderId="26" xfId="0" applyFont="1" applyBorder="1" applyAlignment="1">
      <alignment horizontal="center" vertical="center" wrapText="1"/>
    </xf>
    <xf numFmtId="0" fontId="4" fillId="0" borderId="1" xfId="0" applyFont="1" applyBorder="1" applyAlignment="1">
      <alignment horizontal="left" vertical="center" wrapText="1"/>
    </xf>
    <xf numFmtId="0" fontId="4" fillId="0" borderId="12" xfId="0" applyFont="1" applyBorder="1" applyAlignment="1">
      <alignment horizontal="left" vertical="center" wrapText="1"/>
    </xf>
    <xf numFmtId="0" fontId="24" fillId="13" borderId="4" xfId="0" applyFont="1" applyFill="1" applyBorder="1" applyAlignment="1">
      <alignment horizontal="center" vertical="center" wrapText="1"/>
    </xf>
    <xf numFmtId="0" fontId="24" fillId="13" borderId="1" xfId="0" applyFont="1" applyFill="1" applyBorder="1" applyAlignment="1">
      <alignment horizontal="center" wrapText="1"/>
    </xf>
    <xf numFmtId="0" fontId="5" fillId="0" borderId="6" xfId="0" applyFont="1" applyBorder="1" applyAlignment="1" applyProtection="1">
      <alignment horizontal="center" vertical="center" wrapText="1"/>
      <protection locked="0"/>
    </xf>
    <xf numFmtId="0" fontId="5" fillId="0" borderId="12" xfId="0" applyFont="1" applyBorder="1" applyAlignment="1" applyProtection="1">
      <alignment horizontal="center" wrapText="1"/>
      <protection locked="0"/>
    </xf>
    <xf numFmtId="0" fontId="4" fillId="7" borderId="15" xfId="0" applyFont="1" applyFill="1" applyBorder="1" applyAlignment="1">
      <alignment horizontal="left" vertical="center" wrapText="1"/>
    </xf>
    <xf numFmtId="0" fontId="4" fillId="7" borderId="16" xfId="0" applyFont="1" applyFill="1" applyBorder="1" applyAlignment="1">
      <alignment horizontal="center" vertical="center" wrapText="1"/>
    </xf>
    <xf numFmtId="44" fontId="5" fillId="0" borderId="1" xfId="2" applyFont="1" applyBorder="1" applyAlignment="1">
      <alignment horizontal="left" vertical="center" wrapText="1"/>
    </xf>
    <xf numFmtId="0" fontId="5" fillId="0" borderId="12" xfId="0" applyFont="1" applyBorder="1" applyAlignment="1">
      <alignment horizontal="left" vertical="center" wrapText="1"/>
    </xf>
    <xf numFmtId="0" fontId="16" fillId="0" borderId="0" xfId="0" applyFont="1" applyAlignment="1">
      <alignment horizontal="center"/>
    </xf>
    <xf numFmtId="0" fontId="14" fillId="7" borderId="12"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0" borderId="23" xfId="0" applyFont="1" applyBorder="1" applyAlignment="1">
      <alignment wrapText="1"/>
    </xf>
    <xf numFmtId="0" fontId="5" fillId="0" borderId="28" xfId="0" applyFont="1" applyBorder="1" applyAlignment="1">
      <alignment vertical="center" wrapText="1"/>
    </xf>
    <xf numFmtId="0" fontId="5" fillId="0" borderId="22" xfId="0" applyFont="1" applyBorder="1" applyAlignment="1">
      <alignment wrapText="1"/>
    </xf>
    <xf numFmtId="0" fontId="5" fillId="0" borderId="28" xfId="0" applyFont="1" applyBorder="1" applyAlignment="1">
      <alignment wrapText="1"/>
    </xf>
    <xf numFmtId="0" fontId="5" fillId="5" borderId="0" xfId="0" applyFont="1" applyFill="1" applyAlignment="1">
      <alignment wrapText="1"/>
    </xf>
    <xf numFmtId="0" fontId="4" fillId="0" borderId="2" xfId="0" applyFont="1" applyBorder="1" applyAlignment="1">
      <alignment horizontal="left" vertical="center"/>
    </xf>
    <xf numFmtId="0" fontId="5" fillId="0" borderId="4" xfId="0" applyFont="1" applyBorder="1" applyAlignment="1">
      <alignment wrapText="1"/>
    </xf>
    <xf numFmtId="0" fontId="4" fillId="16" borderId="27" xfId="0" applyFont="1" applyFill="1" applyBorder="1" applyAlignment="1">
      <alignment horizontal="center" vertical="center" wrapText="1"/>
    </xf>
    <xf numFmtId="0" fontId="4" fillId="17" borderId="18"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5" fillId="14" borderId="0" xfId="0" applyFont="1" applyFill="1" applyAlignment="1">
      <alignment horizontal="left" vertical="center" wrapText="1"/>
    </xf>
    <xf numFmtId="0" fontId="3" fillId="5" borderId="29" xfId="0" applyFont="1" applyFill="1" applyBorder="1" applyAlignment="1">
      <alignment horizontal="left" vertical="center" wrapText="1"/>
    </xf>
    <xf numFmtId="0" fontId="3" fillId="5" borderId="30" xfId="0" applyFont="1" applyFill="1" applyBorder="1" applyAlignment="1">
      <alignment horizontal="left" vertical="center" wrapText="1"/>
    </xf>
    <xf numFmtId="0" fontId="3" fillId="5" borderId="31" xfId="0" applyFont="1" applyFill="1" applyBorder="1" applyAlignment="1">
      <alignment horizontal="left" vertical="center" wrapText="1"/>
    </xf>
    <xf numFmtId="0" fontId="3" fillId="6" borderId="29" xfId="0" applyFont="1" applyFill="1" applyBorder="1" applyAlignment="1">
      <alignment horizontal="left" vertical="center" wrapText="1"/>
    </xf>
    <xf numFmtId="0" fontId="3" fillId="10" borderId="30" xfId="0" applyFont="1" applyFill="1" applyBorder="1" applyAlignment="1">
      <alignment horizontal="left" vertical="center" wrapText="1"/>
    </xf>
    <xf numFmtId="0" fontId="3" fillId="9" borderId="30" xfId="0" applyFont="1" applyFill="1" applyBorder="1" applyAlignment="1">
      <alignment horizontal="left" vertical="center" wrapText="1"/>
    </xf>
    <xf numFmtId="0" fontId="3" fillId="6" borderId="30" xfId="0" applyFont="1" applyFill="1" applyBorder="1" applyAlignment="1">
      <alignment horizontal="left" vertical="center" wrapText="1"/>
    </xf>
    <xf numFmtId="0" fontId="3" fillId="9" borderId="31" xfId="0" applyFont="1" applyFill="1" applyBorder="1" applyAlignment="1">
      <alignment horizontal="left" vertical="center" wrapText="1"/>
    </xf>
    <xf numFmtId="0" fontId="3" fillId="3" borderId="29" xfId="0" applyFont="1" applyFill="1" applyBorder="1" applyAlignment="1">
      <alignment horizontal="left" vertical="center" wrapText="1"/>
    </xf>
    <xf numFmtId="0" fontId="3" fillId="3" borderId="30" xfId="0" applyFont="1" applyFill="1" applyBorder="1" applyAlignment="1">
      <alignment horizontal="left" vertical="center" wrapText="1"/>
    </xf>
    <xf numFmtId="0" fontId="3" fillId="3" borderId="31" xfId="0" applyFont="1" applyFill="1" applyBorder="1" applyAlignment="1">
      <alignment horizontal="left" vertical="center" wrapText="1"/>
    </xf>
    <xf numFmtId="0" fontId="14" fillId="7" borderId="1" xfId="0" applyFont="1" applyFill="1" applyBorder="1" applyAlignment="1">
      <alignment horizontal="center" vertical="center" wrapText="1"/>
    </xf>
    <xf numFmtId="0" fontId="14" fillId="7" borderId="1" xfId="0" applyFont="1" applyFill="1" applyBorder="1" applyAlignment="1">
      <alignment horizontal="center" wrapText="1"/>
    </xf>
    <xf numFmtId="2" fontId="8" fillId="0" borderId="0" xfId="0" applyNumberFormat="1" applyFont="1" applyAlignment="1" applyProtection="1">
      <alignment horizontal="center" vertical="center" wrapText="1"/>
      <protection locked="0"/>
    </xf>
    <xf numFmtId="0" fontId="14" fillId="8" borderId="12" xfId="0" applyFont="1" applyFill="1" applyBorder="1" applyAlignment="1">
      <alignment horizontal="center" vertical="center" wrapText="1"/>
    </xf>
    <xf numFmtId="0" fontId="14" fillId="8" borderId="13" xfId="0" applyFont="1" applyFill="1" applyBorder="1" applyAlignment="1">
      <alignment horizontal="center" vertical="center" wrapText="1"/>
    </xf>
    <xf numFmtId="0" fontId="14" fillId="8" borderId="14" xfId="0" applyFont="1" applyFill="1" applyBorder="1" applyAlignment="1">
      <alignment horizontal="center" vertical="center" wrapText="1"/>
    </xf>
    <xf numFmtId="0" fontId="5" fillId="17" borderId="1" xfId="0" applyFont="1" applyFill="1" applyBorder="1" applyAlignment="1" applyProtection="1">
      <alignment vertical="center" wrapText="1"/>
      <protection locked="0"/>
    </xf>
    <xf numFmtId="0" fontId="5" fillId="17" borderId="1" xfId="0" applyFont="1" applyFill="1" applyBorder="1" applyAlignment="1" applyProtection="1">
      <alignment horizontal="left" vertical="center" wrapText="1"/>
      <protection locked="0"/>
    </xf>
    <xf numFmtId="0" fontId="5" fillId="7" borderId="1" xfId="0" applyFont="1" applyFill="1" applyBorder="1" applyAlignment="1" applyProtection="1">
      <alignment vertical="center" wrapText="1"/>
      <protection locked="0"/>
    </xf>
    <xf numFmtId="44" fontId="5" fillId="7" borderId="1" xfId="2" applyFont="1" applyFill="1" applyBorder="1" applyAlignment="1" applyProtection="1">
      <alignment vertical="center" wrapText="1"/>
      <protection locked="0"/>
    </xf>
    <xf numFmtId="0" fontId="17" fillId="18" borderId="1" xfId="0" applyFont="1" applyFill="1" applyBorder="1" applyAlignment="1">
      <alignment horizontal="left" vertical="center" wrapText="1"/>
    </xf>
    <xf numFmtId="44" fontId="17" fillId="18" borderId="1" xfId="2" applyFont="1" applyFill="1" applyBorder="1" applyAlignment="1">
      <alignment horizontal="left" vertical="center" wrapText="1"/>
    </xf>
    <xf numFmtId="0" fontId="4" fillId="17" borderId="0" xfId="0" applyFont="1" applyFill="1"/>
    <xf numFmtId="0" fontId="29" fillId="17" borderId="0" xfId="0" applyFont="1" applyFill="1" applyAlignment="1">
      <alignment horizontal="left" vertical="center" wrapText="1"/>
    </xf>
    <xf numFmtId="0" fontId="17" fillId="8" borderId="2"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17" fillId="8" borderId="4" xfId="0" applyFont="1" applyFill="1" applyBorder="1" applyAlignment="1">
      <alignment horizontal="left" vertical="center" wrapText="1"/>
    </xf>
    <xf numFmtId="0" fontId="14" fillId="8" borderId="12" xfId="0" applyFont="1" applyFill="1" applyBorder="1" applyAlignment="1">
      <alignment horizontal="center" vertical="center"/>
    </xf>
    <xf numFmtId="0" fontId="14" fillId="8" borderId="13" xfId="0" applyFont="1" applyFill="1" applyBorder="1" applyAlignment="1">
      <alignment horizontal="center" vertical="center"/>
    </xf>
    <xf numFmtId="0" fontId="14" fillId="8" borderId="14" xfId="0" applyFont="1" applyFill="1" applyBorder="1" applyAlignment="1">
      <alignment horizontal="center" vertical="center"/>
    </xf>
    <xf numFmtId="0" fontId="5" fillId="0" borderId="11" xfId="0" applyFont="1" applyBorder="1" applyAlignment="1">
      <alignment vertical="center" wrapText="1"/>
    </xf>
    <xf numFmtId="0" fontId="5" fillId="0" borderId="0" xfId="0" applyFont="1" applyAlignment="1">
      <alignment vertical="center" wrapText="1"/>
    </xf>
    <xf numFmtId="0" fontId="5" fillId="0" borderId="1" xfId="0" applyFont="1" applyBorder="1" applyAlignment="1">
      <alignment horizontal="left"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left" vertical="center" wrapText="1"/>
    </xf>
    <xf numFmtId="0" fontId="25" fillId="4" borderId="2"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25" fillId="4" borderId="2" xfId="0" applyFont="1" applyFill="1" applyBorder="1" applyAlignment="1">
      <alignment horizontal="left" vertical="center" wrapText="1"/>
    </xf>
    <xf numFmtId="0" fontId="25" fillId="4" borderId="3" xfId="0" applyFont="1" applyFill="1" applyBorder="1" applyAlignment="1">
      <alignment horizontal="left" vertical="center" wrapText="1"/>
    </xf>
    <xf numFmtId="0" fontId="25" fillId="4" borderId="4" xfId="0" applyFont="1" applyFill="1" applyBorder="1" applyAlignment="1">
      <alignment horizontal="left" vertical="center" wrapText="1"/>
    </xf>
    <xf numFmtId="0" fontId="14" fillId="8" borderId="12" xfId="0" applyFont="1" applyFill="1" applyBorder="1" applyAlignment="1">
      <alignment horizontal="center" vertical="center" wrapText="1"/>
    </xf>
    <xf numFmtId="0" fontId="14" fillId="8" borderId="13" xfId="0" applyFont="1" applyFill="1" applyBorder="1" applyAlignment="1">
      <alignment horizontal="center" vertical="center" wrapText="1"/>
    </xf>
    <xf numFmtId="0" fontId="14" fillId="8" borderId="14" xfId="0" applyFont="1" applyFill="1" applyBorder="1" applyAlignment="1">
      <alignment horizontal="center" vertical="center" wrapText="1"/>
    </xf>
    <xf numFmtId="0" fontId="5" fillId="0" borderId="2" xfId="0" applyFont="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166" fontId="5" fillId="0" borderId="2" xfId="0" applyNumberFormat="1" applyFont="1" applyBorder="1" applyAlignment="1" applyProtection="1">
      <alignment horizontal="left" vertical="center"/>
      <protection locked="0"/>
    </xf>
    <xf numFmtId="166" fontId="5" fillId="0" borderId="4" xfId="0" applyNumberFormat="1" applyFont="1" applyBorder="1" applyAlignment="1" applyProtection="1">
      <alignment horizontal="left" vertical="center"/>
      <protection locked="0"/>
    </xf>
    <xf numFmtId="0" fontId="25" fillId="4" borderId="1" xfId="0" applyFont="1" applyFill="1" applyBorder="1" applyAlignment="1">
      <alignment horizontal="left" vertical="center" wrapText="1"/>
    </xf>
    <xf numFmtId="0" fontId="14" fillId="8" borderId="8" xfId="0" applyFont="1" applyFill="1" applyBorder="1" applyAlignment="1">
      <alignment horizontal="center" vertical="center"/>
    </xf>
    <xf numFmtId="0" fontId="14" fillId="8" borderId="9" xfId="0" applyFont="1" applyFill="1" applyBorder="1" applyAlignment="1">
      <alignment horizontal="center" vertical="center"/>
    </xf>
    <xf numFmtId="0" fontId="14" fillId="0" borderId="1" xfId="0" applyFont="1" applyBorder="1" applyAlignment="1">
      <alignment horizontal="center" vertical="center"/>
    </xf>
    <xf numFmtId="0" fontId="24" fillId="3" borderId="2"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5" fillId="4" borderId="20" xfId="0" applyFont="1" applyFill="1" applyBorder="1" applyAlignment="1">
      <alignment horizontal="center" vertical="center" wrapText="1"/>
    </xf>
    <xf numFmtId="0" fontId="25" fillId="4" borderId="21" xfId="0" applyFont="1" applyFill="1" applyBorder="1" applyAlignment="1">
      <alignment horizontal="center" vertical="center" wrapText="1"/>
    </xf>
    <xf numFmtId="0" fontId="18" fillId="15" borderId="0" xfId="0" applyFont="1" applyFill="1" applyAlignment="1" applyProtection="1">
      <alignment horizontal="center" vertical="center" wrapText="1"/>
      <protection locked="0"/>
    </xf>
    <xf numFmtId="0" fontId="24" fillId="4" borderId="1"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5" fillId="0" borderId="1" xfId="0" applyFont="1" applyBorder="1" applyAlignment="1" applyProtection="1">
      <alignment horizontal="left" vertical="center"/>
      <protection locked="0"/>
    </xf>
    <xf numFmtId="15" fontId="5" fillId="0" borderId="1" xfId="0" applyNumberFormat="1" applyFont="1" applyBorder="1" applyAlignment="1" applyProtection="1">
      <alignment horizontal="left" vertical="center"/>
      <protection locked="0"/>
    </xf>
  </cellXfs>
  <cellStyles count="5">
    <cellStyle name="Currency" xfId="2" builtinId="4"/>
    <cellStyle name="Hyperlink 2" xfId="4" xr:uid="{73CED877-CCB0-41AF-971E-B1160EF99993}"/>
    <cellStyle name="Normal" xfId="0" builtinId="0"/>
    <cellStyle name="Normal 2" xfId="3" xr:uid="{32F24D65-9528-4575-AA3A-B4290DF1E31B}"/>
    <cellStyle name="Percent" xfId="1" builtinId="5"/>
  </cellStyles>
  <dxfs count="224">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medium">
          <color rgb="FF0086BF"/>
        </top>
        <bottom style="medium">
          <color rgb="FF0086BF"/>
        </bottom>
      </border>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protection locked="0"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dxf>
    <dxf>
      <border>
        <bottom style="thin">
          <color indexed="64"/>
        </bottom>
      </border>
    </dxf>
    <dxf>
      <font>
        <strike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7030A0"/>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7030A0"/>
        <name val="Arial"/>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numFmt numFmtId="165" formatCode="&quot;$&quot;#,##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numFmt numFmtId="13" formatCode="0%"/>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alignment horizontal="center" vertical="center" textRotation="0" wrapText="1" indent="0" justifyLastLine="0" shrinkToFit="0" readingOrder="0"/>
      <protection locked="1" hidden="0"/>
    </dxf>
    <dxf>
      <font>
        <strike val="0"/>
        <outline val="0"/>
        <shadow val="0"/>
        <u val="none"/>
        <vertAlign val="baseline"/>
        <sz val="10"/>
        <name val="Arial"/>
        <family val="2"/>
        <scheme val="none"/>
      </font>
      <protection locked="1" hidden="0"/>
    </dxf>
    <dxf>
      <font>
        <strike val="0"/>
        <outline val="0"/>
        <shadow val="0"/>
        <u val="none"/>
        <vertAlign val="baseline"/>
        <sz val="10"/>
        <name val="Arial"/>
        <family val="2"/>
        <scheme val="none"/>
      </font>
      <protection locked="1" hidden="0"/>
    </dxf>
    <dxf>
      <font>
        <strike val="0"/>
        <outline val="0"/>
        <shadow val="0"/>
        <u val="none"/>
        <vertAlign val="baseline"/>
        <sz val="10"/>
        <name val="Arial"/>
        <family val="2"/>
        <scheme val="none"/>
      </font>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7030A0"/>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7030A0"/>
        <name val="Arial"/>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medium">
          <color rgb="FF0086BF"/>
        </top>
        <bottom style="medium">
          <color rgb="FF0086BF"/>
        </bottom>
      </border>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protection locked="0"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dxf>
    <dxf>
      <border>
        <bottom style="thin">
          <color indexed="64"/>
        </bottom>
      </border>
    </dxf>
    <dxf>
      <font>
        <strike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7030A0"/>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7030A0"/>
        <name val="Arial"/>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1"/>
        <name val="Arial"/>
        <family val="2"/>
        <scheme val="none"/>
      </font>
      <fill>
        <patternFill patternType="solid">
          <fgColor indexed="64"/>
          <bgColor rgb="FFFFFF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numFmt numFmtId="165" formatCode="&quot;$&quot;#,##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fill>
        <patternFill patternType="solid">
          <fgColor indexed="64"/>
          <bgColor rgb="FFFFFF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s>
  <tableStyles count="0" defaultTableStyle="TableStyleMedium2" defaultPivotStyle="PivotStyleLight16"/>
  <colors>
    <mruColors>
      <color rgb="FF003B5C"/>
      <color rgb="FFA391F1"/>
      <color rgb="FFF2F2F2"/>
      <color rgb="FF0086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710843</xdr:colOff>
      <xdr:row>56</xdr:row>
      <xdr:rowOff>38101</xdr:rowOff>
    </xdr:to>
    <xdr:pic>
      <xdr:nvPicPr>
        <xdr:cNvPr id="4" name="Picture 3">
          <a:extLst>
            <a:ext uri="{FF2B5EF4-FFF2-40B4-BE49-F238E27FC236}">
              <a16:creationId xmlns:a16="http://schemas.microsoft.com/office/drawing/2014/main" id="{1141BE5E-C95A-4BD8-85ED-9AF81EEC8E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330843" cy="107061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BDB1C22-0831-455E-9D80-3CB50CFA5053}" name="tblMissionPrompts14" displayName="tblMissionPrompts14" ref="C7:E12" totalsRowShown="0" headerRowDxfId="223" dataDxfId="222">
  <autoFilter ref="C7:E12" xr:uid="{09324F53-4CF9-4A84-865D-5DA67071876A}"/>
  <tableColumns count="3">
    <tableColumn id="1" xr3:uid="{E8430FBC-5569-44AA-B82B-0C3E62C68356}" name="Impact Magnitude" dataDxfId="221"/>
    <tableColumn id="2" xr3:uid="{337C75B1-E855-481A-BF03-DFD2EA770FA3}" name="Prompt" dataDxfId="220"/>
    <tableColumn id="3" xr3:uid="{9A43E525-B93E-40F6-B6FD-66CB43ADAE48}" name="Response" dataDxfId="21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23F7C1C-AA2E-407B-B213-D94117A47A8E}" name="tblOperationalObjectivesPrompts26" displayName="tblOperationalObjectivesPrompts26" ref="C20:E25" totalsRowShown="0" headerRowDxfId="218" dataDxfId="217">
  <autoFilter ref="C20:E25" xr:uid="{46EAAD7E-2ACA-4874-86BE-FF0085A8CE13}"/>
  <tableColumns count="3">
    <tableColumn id="1" xr3:uid="{535F53D4-86F0-4A36-887D-9D6631359F32}" name="Impact Magnitude" dataDxfId="216"/>
    <tableColumn id="2" xr3:uid="{CE887ECA-A047-42AB-8C26-95DED5D9B71B}" name="Prompt" dataDxfId="215"/>
    <tableColumn id="3" xr3:uid="{7F9BE9F0-9919-4FE1-B65C-11C6F94EA6C9}" name="Response" dataDxfId="214"/>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E169686-DAE3-4361-924C-4E0464623588}" name="tblFinancialObjectivesPrompts27" displayName="tblFinancialObjectivesPrompts27" ref="C33:E38" totalsRowShown="0" headerRowDxfId="213" dataDxfId="212">
  <autoFilter ref="C33:E38" xr:uid="{5B3764C1-C122-4A1D-B915-2B9D03361D63}"/>
  <tableColumns count="3">
    <tableColumn id="1" xr3:uid="{2D34249D-F98C-45AF-983C-A68F4E069883}" name="Impact Magnitude" dataDxfId="211"/>
    <tableColumn id="2" xr3:uid="{EA7E3BD7-6861-4E52-9960-3AE1002DC7EA}" name="Prompt" dataDxfId="210"/>
    <tableColumn id="3" xr3:uid="{520E4071-CBE2-4F78-966A-F4D607031C4B}" name="Response" dataDxfId="209"/>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4AF5F8-3C64-4617-A0C2-202D26B431E6}" name="tblObligations28" displayName="tblObligations28" ref="C46:E51" totalsRowShown="0" headerRowDxfId="208" dataDxfId="207">
  <autoFilter ref="C46:E51" xr:uid="{614F668E-5111-40F9-AD5F-D214A6D31BA0}"/>
  <tableColumns count="3">
    <tableColumn id="1" xr3:uid="{BF7A29C5-E77A-456C-97B8-6FF6D1DF21CC}" name="Impact Magnitude" dataDxfId="206"/>
    <tableColumn id="2" xr3:uid="{54CB0C56-F545-4FD1-BE16-32AFFA33E1C9}" name="Prompt" dataDxfId="205"/>
    <tableColumn id="3" xr3:uid="{4DC93E75-3D17-411E-98E6-F5062AFA5ED2}" name="Response" dataDxfId="204"/>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BA82D-C6DB-4120-95D5-DB050AECF539}" name="tblImpactDefinitions29" displayName="tblImpactDefinitions29" ref="C10:G16" totalsRowShown="0" headerRowDxfId="203" dataDxfId="201" headerRowBorderDxfId="202" tableBorderDxfId="200" totalsRowBorderDxfId="199">
  <autoFilter ref="C10:G16" xr:uid="{8DD03DC5-50FC-44D0-B8F0-179EA60BA403}"/>
  <tableColumns count="5">
    <tableColumn id="1" xr3:uid="{BAC54837-23DB-4BCF-88DA-B6572157BE46}" name="Impact Scores" dataDxfId="198"/>
    <tableColumn id="2" xr3:uid="{24ADE7BD-E00C-40B1-B8DC-CDFF149BC72E}" name="Mission" dataDxfId="197"/>
    <tableColumn id="3" xr3:uid="{AAC3B212-DEAB-47EC-80E4-1B680BFDAA46}" name="Operational Objectives" dataDxfId="196">
      <calculatedColumnFormula>IF(ISBLANK('1. Impact Criteria Survey '!E20),"",'1. Impact Criteria Survey '!E20)</calculatedColumnFormula>
    </tableColumn>
    <tableColumn id="4" xr3:uid="{EB9B0B8C-2509-4335-A81B-418E123B40A7}" name="Financial Objectives" dataDxfId="195" dataCellStyle="Currency"/>
    <tableColumn id="5" xr3:uid="{D767CD6B-9DA6-4491-828E-8889CE62F12E}" name="Obligations" dataDxfId="194">
      <calculatedColumnFormula>IF(ISBLANK('1. Impact Criteria Survey '!E46),"",'1. Impact Criteria Survey '!E46)</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3712D95-176C-4230-9C07-71A335F01BE8}" name="tblInherentImpacts30" displayName="tblInherentImpacts30" ref="C41:G47" totalsRowShown="0" headerRowDxfId="193" dataDxfId="191" headerRowBorderDxfId="192" tableBorderDxfId="190" totalsRowBorderDxfId="189">
  <autoFilter ref="C41:G47" xr:uid="{9273A98F-98B1-41B9-A7F2-1ADD2DC94951}"/>
  <tableColumns count="5">
    <tableColumn id="1" xr3:uid="{F4BA415F-A0A9-4F92-8063-BE7C9B63AAEE}" name="Asset Class" dataDxfId="188"/>
    <tableColumn id="2" xr3:uid="{8929D26B-6EDD-41CD-AD59-457B604345B3}" name="Mission Impact" dataDxfId="187">
      <calculatedColumnFormula>IF(MAX(D43:D47)=0,"",MAX(D43:D47))</calculatedColumnFormula>
    </tableColumn>
    <tableColumn id="3" xr3:uid="{ACEAE1D3-DB66-42F9-A37E-422A6BD5CEB6}" name="Operational Objectives Impact" dataDxfId="186">
      <calculatedColumnFormula>IF(MAX(E43:E47)=0,"",MAX(E43,E47))</calculatedColumnFormula>
    </tableColumn>
    <tableColumn id="4" xr3:uid="{27BEA72C-EBF9-4836-AE5D-430D9D4C9782}" name="Financial Objectives Impact" dataDxfId="185">
      <calculatedColumnFormula>IF(MAX(F43:F47)=0,"",MAX(F43,F47))</calculatedColumnFormula>
    </tableColumn>
    <tableColumn id="5" xr3:uid="{3FE8F5F6-06E2-4142-B9DA-01A086940281}" name="Obligations Impact" dataDxfId="184">
      <calculatedColumnFormula>IF(MAX(G43:G47)=0,"",MAX(G43,G47))</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E55E4AD-C6C0-4436-8BF3-425225089402}" name="tblLikelihoodDefinitions31" displayName="tblLikelihoodDefinitions31" ref="C22:E27" totalsRowShown="0" headerRowDxfId="183" dataDxfId="181" headerRowBorderDxfId="182" tableBorderDxfId="180" totalsRowBorderDxfId="179">
  <autoFilter ref="C22:E27" xr:uid="{6531DCC4-4F6C-4E87-91EB-28D5C035F4E3}"/>
  <tableColumns count="3">
    <tableColumn id="1" xr3:uid="{D24B7B20-283F-4D0E-BBE7-F3E8F8377CE5}" name="Expectancy Score" dataDxfId="178"/>
    <tableColumn id="2" xr3:uid="{6030AE4B-E332-4400-8C85-5E7A287CC17B}" name="Expectancy" dataDxfId="177"/>
    <tableColumn id="3" xr3:uid="{FB487DE0-71E3-4A47-B8B4-4553174D12CB}" name="Criteria" dataDxfId="17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51C00C5-B87F-49E2-BC87-136C3E61754D}" name="tblRiskRegister32" displayName="tblRiskRegister32" ref="B10:AF140" totalsRowShown="0" headerRowDxfId="175" dataDxfId="174">
  <autoFilter ref="B10:AF140" xr:uid="{9DD1637E-6A24-4152-BF1D-6C69C54474D3}">
    <filterColumn colId="1">
      <customFilters>
        <customFilter operator="notEqual" val=" "/>
      </customFilters>
    </filterColumn>
  </autoFilter>
  <sortState xmlns:xlrd2="http://schemas.microsoft.com/office/spreadsheetml/2017/richdata2" ref="B11:AF140">
    <sortCondition ref="D10:D140"/>
  </sortState>
  <tableColumns count="31">
    <tableColumn id="20" xr3:uid="{B386DF3E-CAE4-41D3-A53A-37CD45084AE0}" name="Asset Class" dataDxfId="173"/>
    <tableColumn id="36" xr3:uid="{EDF1CEB1-9A51-4A1B-95CA-25B933C3392C}" name="MIS 595 Focused Controls" dataDxfId="172"/>
    <tableColumn id="33" xr3:uid="{22B6B5FC-1E7E-402C-BDB3-EF0E6960D5F6}" name="CIS Safeguard #2" dataDxfId="171"/>
    <tableColumn id="2" xr3:uid="{982ABEAC-4809-4124-8426-1788708A5167}" name="CIS Safeguard Title" dataDxfId="170"/>
    <tableColumn id="34" xr3:uid="{E0C41EAD-99CD-4FFD-9AEC-9A3BEB37B0C3}" name="Our Implementation" dataDxfId="169"/>
    <tableColumn id="1" xr3:uid="{4C329DA3-8A00-4882-97D6-E8DED3101F0A}" name="Vulnerabilities" dataDxfId="168"/>
    <tableColumn id="3" xr3:uid="{DE32F5DE-4A34-43B1-BD4D-C8C31FDC0ABA}" name="Safeguard Maturity Score" dataDxfId="167"/>
    <tableColumn id="27" xr3:uid="{AF3D0754-0D31-4DD4-948C-B5B61156F301}" name="VCDB Index" dataDxfId="166">
      <calculatedColumnFormula>IFERROR(VLOOKUP(tblRiskRegister32[[#This Row],[Asset Class]],tblVCDBIndex[],4,FALSE),"")</calculatedColumnFormula>
    </tableColumn>
    <tableColumn id="9" xr3:uid="{9DFFCE7E-90F3-41AA-AB97-02C29E3056AF}" name="Expectancy Score" dataDxfId="165">
      <calculatedColumnFormula>IFERROR(VLOOKUP(10*tblRiskRegister32[[#This Row],[Safeguard Maturity Score]]+tblRiskRegister32[[#This Row],[VCDB Index]],tblHITIndexWeightTable[],4,FALSE),"")</calculatedColumnFormula>
    </tableColumn>
    <tableColumn id="10" xr3:uid="{5C8A7569-0154-4ADD-AA40-77A64DEB3054}" name="Impact to Mission" dataDxfId="164">
      <calculatedColumnFormula>VLOOKUP(tblRiskRegister32[[#This Row],[Asset Class]],tblInherentImpacts30[],2,FALSE)</calculatedColumnFormula>
    </tableColumn>
    <tableColumn id="11" xr3:uid="{49D36246-41FB-408C-A888-625D2BA6E5D6}" name="Impact to Operational Objectives" dataDxfId="163">
      <calculatedColumnFormula>VLOOKUP(tblRiskRegister32[[#This Row],[Asset Class]],tblInherentImpacts30[],3,FALSE)</calculatedColumnFormula>
    </tableColumn>
    <tableColumn id="4" xr3:uid="{BCC17CE9-A961-4E9A-B634-3B7856D7A5F9}" name="Impact to Financial Objectives" dataDxfId="162">
      <calculatedColumnFormula>VLOOKUP(tblRiskRegister32[[#This Row],[Asset Class]],tblInherentImpacts30[],4,FALSE)</calculatedColumnFormula>
    </tableColumn>
    <tableColumn id="12" xr3:uid="{A00E3462-7287-475B-B575-7BE7420373C0}" name="Impact to Obligations" dataDxfId="161">
      <calculatedColumnFormula>VLOOKUP(tblRiskRegister32[[#This Row],[Asset Class]],tblInherentImpacts30[],5,FALSE)</calculatedColumnFormula>
    </tableColumn>
    <tableColumn id="13" xr3:uid="{0C576C88-0F5F-451B-A673-5833C54A352D}" name="Risk Score" dataDxfId="160">
      <calculatedColumnFormula>IFERROR(MAX(tblRiskRegister32[[#This Row],[Impact to Mission]:[Impact to Obligations]])*tblRiskRegister32[[#This Row],[Expectancy Score]],"")</calculatedColumnFormula>
    </tableColumn>
    <tableColumn id="14" xr3:uid="{0D85476C-FDB7-4719-AA34-655D011C000A}" name="Risk Level" dataDxfId="159">
      <calculatedColumnFormula>tblRiskRegister32[[#This Row],[Risk Score]]</calculatedColumnFormula>
    </tableColumn>
    <tableColumn id="25" xr3:uid="{FAB984D3-7F70-4E1E-943A-F2D67537C50A}" name="Risk Treatment Option" dataDxfId="158"/>
    <tableColumn id="5" xr3:uid="{054D0362-6301-484F-B8B8-124D5F94144B}" name="Risk Treatment Safeguard" dataDxfId="157"/>
    <tableColumn id="6" xr3:uid="{3975DA05-47EF-468D-B68B-DB1C38B4BECE}" name="Risk Treatment_x000a_Safeguard Title" dataDxfId="156"/>
    <tableColumn id="24" xr3:uid="{4EAC9308-CB78-4935-91A9-49DC03CE6F5E}" name="Risk Treatment_x000a_Safeguard Description" dataDxfId="155"/>
    <tableColumn id="21" xr3:uid="{17E35318-ED01-424F-8275-22B2A36A2166}" name="Our Planned Implementation" dataDxfId="154"/>
    <tableColumn id="7" xr3:uid="{7FC3B1A8-639C-4920-A4AF-6AD34C1B0CCE}" name="Risk Treatment Safeguard Maturity Score" dataDxfId="153"/>
    <tableColumn id="15" xr3:uid="{B4BEB8AC-0439-4C97-B0E5-230255ABDE1D}" name="Risk Treatment_x000a_Safeguard Expectancy Score" dataDxfId="152">
      <calculatedColumnFormula>IFERROR(VLOOKUP(10*tblRiskRegister32[[#This Row],[Risk Treatment Safeguard Maturity Score]]+tblRiskRegister32[[#This Row],[VCDB Index]],tblHITIndexWeightTable[],4,FALSE),"")</calculatedColumnFormula>
    </tableColumn>
    <tableColumn id="16" xr3:uid="{7E7FF273-7AE3-4B71-8DF7-5103C48270F0}" name="Risk Treatment Safeguard Impact to Mission" dataDxfId="151">
      <calculatedColumnFormula>VLOOKUP(tblRiskRegister32[[#This Row],[Asset Class]],tblInherentImpacts30[],2,FALSE)</calculatedColumnFormula>
    </tableColumn>
    <tableColumn id="17" xr3:uid="{E234E5FC-B87C-49AB-83F7-8F6E031E7C49}" name="Risk Treatment Safeguard Impact to Operational Objectives" dataDxfId="150">
      <calculatedColumnFormula>VLOOKUP(tblRiskRegister32[[#This Row],[Asset Class]],tblInherentImpacts30[],3,FALSE)</calculatedColumnFormula>
    </tableColumn>
    <tableColumn id="31" xr3:uid="{CF8589FA-F045-45CA-B868-242A68896202}" name="Risk Treatment Safeguard Impact to Financial Objectives" dataDxfId="149">
      <calculatedColumnFormula>VLOOKUP(tblRiskRegister32[[#This Row],[Asset Class]],tblInherentImpacts30[],3,FALSE)</calculatedColumnFormula>
    </tableColumn>
    <tableColumn id="18" xr3:uid="{EBA6F3A2-DCB1-4EFD-A655-B0BD5AE910E4}" name="Risk Treatment Safeguard Impact to Obligations" dataDxfId="148">
      <calculatedColumnFormula>VLOOKUP(tblRiskRegister32[[#This Row],[Asset Class]],tblInherentImpacts30[],4,FALSE)</calculatedColumnFormula>
    </tableColumn>
    <tableColumn id="28" xr3:uid="{F7B83DFB-FF9C-43AC-A3BD-70A58A5F15C6}" name="Risk Treatment Safeguard Risk Score" dataDxfId="147">
      <calculatedColumnFormula>IFERROR(MAX(tblRiskRegister32[[#This Row],[Risk Treatment Safeguard Impact to Mission]:[Risk Treatment Safeguard Impact to Obligations]])*tblRiskRegister32[[#This Row],[Risk Treatment
Safeguard Expectancy Score]],"")</calculatedColumnFormula>
    </tableColumn>
    <tableColumn id="26" xr3:uid="{6F4C4F60-3334-4128-81CE-FC73AD00F16A}" name="Reasonable and Acceptable" dataDxfId="146">
      <calculatedColumnFormula>IF(tblRiskRegister32[[#This Row],[Risk Score]]&gt;AcceptableRisk,IF(tblRiskRegister32[[#This Row],[Risk Treatment Safeguard Risk Score]]&lt;AcceptableRisk, IF(tblRiskRegister32[[#This Row],[Risk Treatment Safeguard Risk Score]]&lt;=tblRiskRegister32[[#This Row],[Risk Score]],"Yes","No"),"No"),"Yes")</calculatedColumnFormula>
    </tableColumn>
    <tableColumn id="19" xr3:uid="{15D7A831-919A-42AB-8722-C9CBEADE2F86}" name="Risk Treatment Safeguard Cost" dataDxfId="145" dataCellStyle="Currency"/>
    <tableColumn id="8" xr3:uid="{46272CCA-0793-4A93-9571-5F8AF995DBE7}" name="Implementation Quarter" dataDxfId="144" dataCellStyle="Currency"/>
    <tableColumn id="23" xr3:uid="{49E9853A-BB72-4DAD-AB59-4ABCF73F3CFE}" name="Implementation Year" dataDxfId="14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7567108-5A07-43F6-BCA9-B155B5543AF6}" name="tblCostImpacts33" displayName="tblCostImpacts33" ref="AH10:AJ20" totalsRowShown="0" headerRowDxfId="142" dataDxfId="141">
  <autoFilter ref="AH10:AJ20" xr:uid="{8DF8E5E0-4444-493D-923E-B023F5A18943}"/>
  <tableColumns count="3">
    <tableColumn id="1" xr3:uid="{AC7F14F8-211B-49A4-9A7C-EE1DC0628C0A}" name="Impact to Financial Objectives" dataDxfId="140" dataCellStyle="Currency">
      <calculatedColumnFormula>SUMIF(tblRiskRegister32[[#All],[Implementation Year]],"="&amp;tblCostImpacts33[[#This Row],[Year]],tblRiskRegister32[[#All],[Risk Treatment Safeguard Cost]])</calculatedColumnFormula>
    </tableColumn>
    <tableColumn id="2" xr3:uid="{FC34218E-1AA0-45C1-8E86-735B23BFA4D9}" name="Year" dataDxfId="139"/>
    <tableColumn id="3" xr3:uid="{2500527B-152A-4873-A543-6623623C36BE}" name="Reasonable?" dataDxfId="138">
      <calculatedColumnFormula>IF(tblCostImpacts33[[#This Row],[Impact to Financial Objectives]]&lt;='2. Enterprise Parameters'!$F$13,"Yes","No")</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15D722-C0DC-40F3-8939-425306C61E7A}" name="tblInherentImpacts3049" displayName="tblInherentImpacts3049" ref="F12:J18" totalsRowShown="0" headerRowDxfId="137" dataDxfId="135" headerRowBorderDxfId="136" tableBorderDxfId="134" totalsRowBorderDxfId="133">
  <tableColumns count="5">
    <tableColumn id="1" xr3:uid="{02FCC110-778C-4100-9418-34D68627396C}" name="Asset Class" dataDxfId="132"/>
    <tableColumn id="2" xr3:uid="{AA9BA4D5-E6E2-469D-B2AE-A50989E3BFAB}" name="Mission Impact" dataDxfId="131"/>
    <tableColumn id="3" xr3:uid="{F8B9C3A7-534A-4AA2-979B-DFA752C04141}" name="Operational Objectives Impact" dataDxfId="130"/>
    <tableColumn id="4" xr3:uid="{43B3DDD4-C43F-4881-8420-23813EB197C9}" name="Financial Objectives Impact" dataDxfId="129"/>
    <tableColumn id="5" xr3:uid="{946B9417-092B-44F8-B7EB-0DBF608AE0FE}" name="Obligations Impact" dataDxfId="12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BBA5EBE-03E7-45DE-8727-6AB98509E54B}" name="tblImpactDefinitions2950" displayName="tblImpactDefinitions2950" ref="F3:J9" totalsRowShown="0" headerRowDxfId="127" dataDxfId="125" headerRowBorderDxfId="126" tableBorderDxfId="124" totalsRowBorderDxfId="123">
  <tableColumns count="5">
    <tableColumn id="1" xr3:uid="{85376017-A3CF-4BE2-BB88-4AEB7C755F69}" name="Impact Scores" dataDxfId="122"/>
    <tableColumn id="2" xr3:uid="{04585905-B17C-4E87-8E57-FA4C5971F3D2}" name="Mission" dataDxfId="121"/>
    <tableColumn id="3" xr3:uid="{1ABAD568-DF55-402E-8C78-0E11DCD6F68E}" name="Operational Objectives" dataDxfId="120">
      <calculatedColumnFormula>IF(ISBLANK('1. Impact Criteria Survey '!H38),"",'1. Impact Criteria Survey '!H38)</calculatedColumnFormula>
    </tableColumn>
    <tableColumn id="4" xr3:uid="{D68FB863-1913-4052-8144-35A8F7241910}" name="Financial Objectives" dataDxfId="119" dataCellStyle="Currency"/>
    <tableColumn id="5" xr3:uid="{B1CF1284-FD2F-4F84-B81C-9A9748936E1C}" name="Obligations" dataDxfId="118">
      <calculatedColumnFormula>IF(ISBLANK('1. Impact Criteria Survey '!H64),"",'1. Impact Criteria Survey '!H64)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48999-10B6-4E11-B044-B277753047A0}" name="tblMaturityScores" displayName="tblMaturityScores" ref="B18:C23" totalsRowShown="0" headerRowDxfId="117" dataDxfId="116">
  <autoFilter ref="B18:C23" xr:uid="{7B87A968-A3AD-4C4F-82A7-F496D86A46DA}"/>
  <tableColumns count="2">
    <tableColumn id="1" xr3:uid="{DD79982C-A9BA-4C29-9339-25D7077BA225}" name="Maturity Scores" dataDxfId="115"/>
    <tableColumn id="2" xr3:uid="{B95BD2FA-F1A4-4A6B-8B12-4B5DE8ABB09E}" name="Definition" dataDxfId="114"/>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E67D7F-408D-4247-9729-AF2715BBF482}" name="Table5" displayName="Table5" ref="B29:D34" totalsRowShown="0" headerRowDxfId="113" dataDxfId="112">
  <autoFilter ref="B29:D34" xr:uid="{9543C490-5DBE-41CA-B48C-0C5A61F445AA}"/>
  <tableColumns count="3">
    <tableColumn id="1" xr3:uid="{AB1F23FC-EFCD-4F47-981B-1A533DC44E01}" name="Expectancy Scores" dataDxfId="111"/>
    <tableColumn id="2" xr3:uid="{4239A226-FA5E-49A1-86BA-6C89EC06FDE3}" name="Expectancy" dataDxfId="110"/>
    <tableColumn id="3" xr3:uid="{0C12584E-04E3-4DDF-B031-4024B9D8D6D4}" name="Criteria" dataDxfId="109"/>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C1274-FDB1-4BEB-98FC-B08D4109F889}" name="Table6" displayName="Table6" ref="B40:C41" totalsRowShown="0" headerRowDxfId="108" dataDxfId="107">
  <autoFilter ref="B40:C41" xr:uid="{1F2A4CDB-E353-417D-87C3-37E36339B4E8}"/>
  <tableColumns count="2">
    <tableColumn id="1" xr3:uid="{3DC79FAB-AE52-4C8A-96B3-D0F1100C46B0}" name="Acceptable Risk Score" dataDxfId="106">
      <calculatedColumnFormula>IF(AcceptableRisk&gt;0, "&lt; " &amp; AcceptableRisk, "Complete the Risk Acceptance Criteria table in Enterprise Parameters")</calculatedColumnFormula>
    </tableColumn>
    <tableColumn id="2" xr3:uid="{2716CAD0-D544-4052-A3D6-A853AF68014F}" name="Risk Acceptance Criteria" dataDxfId="105">
      <calculatedColumnFormula>IF(AcceptableRisk&gt;0, "All scores lower than '" &amp; AcceptableRisk &amp; "' may be automatically accepted. All other risks must be reduced.","Complete the Risk Acceptance Criteria table in Enterprise parameters.")</calculatedColumnFormula>
    </tableColumn>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7DE92C-2FC9-4A9B-8B56-9BBAC9A4D18C}" name="tblVCDBIndex" displayName="tblVCDBIndex" ref="B48:E55" totalsRowShown="0" headerRowDxfId="104" dataDxfId="103">
  <autoFilter ref="B48:E55" xr:uid="{3D5FFE15-1BB4-4EF0-B09F-4B164D6A82A7}"/>
  <tableColumns count="4">
    <tableColumn id="1" xr3:uid="{50E1FA10-603D-42D6-8A53-9DE10B2F836D}" name="Asset Class" dataDxfId="102"/>
    <tableColumn id="2" xr3:uid="{A5ADADF0-F404-4FB8-B93B-A9D20A6C8892}" name="Sum of Threat Count / Industry" dataDxfId="101"/>
    <tableColumn id="3" xr3:uid="{E69ACDA9-ACAA-4EEA-9C81-B28906831D41}" name="Percentage" dataDxfId="100" dataCellStyle="Percent">
      <calculatedColumnFormula>tblVCDBIndex[[#This Row],[Sum of Threat Count / Industry]]/$C$47</calculatedColumnFormula>
    </tableColumn>
    <tableColumn id="4" xr3:uid="{287EDDA7-0E69-4366-BA87-DCC60821B9A2}" name="Index" dataDxfId="99">
      <calculatedColumnFormula>IF(tblVCDBIndex[[#This Row],[Percentage]]&gt;=0.5,3,IF(tblVCDBIndex[[#This Row],[Percentage]]&gt;=0.1,2,1))</calculatedColumnFormula>
    </tableColumn>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887B67-BF2C-4E30-9E2B-2AF3B21AC2F9}" name="tblHITIndexWeightTable" displayName="tblHITIndexWeightTable" ref="B61:E86" totalsRowShown="0" headerRowDxfId="98" dataDxfId="97">
  <autoFilter ref="B61:E86" xr:uid="{045CA64F-00D5-4A25-A420-B3A85B51667D}"/>
  <sortState xmlns:xlrd2="http://schemas.microsoft.com/office/spreadsheetml/2017/richdata2" ref="C62:E70">
    <sortCondition descending="1" ref="C61:C70"/>
  </sortState>
  <tableColumns count="4">
    <tableColumn id="4" xr3:uid="{42C0E347-189B-4749-AA0C-F2B9D0D43957}" name="VCDB Index Lookup" dataDxfId="96"/>
    <tableColumn id="1" xr3:uid="{54D34524-94CD-466A-B10E-F45894C20F46}" name="Maturity" dataDxfId="95"/>
    <tableColumn id="2" xr3:uid="{6FFDD197-6A58-4063-AFA5-225A42374912}" name="VCDB Index" dataDxfId="94"/>
    <tableColumn id="3" xr3:uid="{2AC0ACC8-58E6-4D9E-9B01-B192A02430C5}" name="Expectancy" dataDxfId="93"/>
  </tableColumns>
  <tableStyleInfo name="TableStyleMedium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47F86D-E0F9-4DBA-AF95-CF1AC686018A}" name="Table10" displayName="Table10" ref="B6:B12" totalsRowShown="0" headerRowDxfId="92" dataDxfId="91">
  <autoFilter ref="B6:B12" xr:uid="{CC22DCD9-5E80-491A-A6DB-255929F03381}"/>
  <tableColumns count="1">
    <tableColumn id="1" xr3:uid="{EAB9E2CC-245E-4CC2-A0A0-5DC2A0BBFAB4}" name="Asset Classes" dataDxfId="90"/>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325D08E-D4F8-4674-B472-287D2E2F9B24}" name="tblMissionPrompts1539" displayName="tblMissionPrompts1539" ref="C6:E11" totalsRowShown="0" headerRowDxfId="89" dataDxfId="88">
  <autoFilter ref="C6:E11" xr:uid="{8F20711D-F8B1-48CD-B22F-0A5A0A1C5D3C}"/>
  <tableColumns count="3">
    <tableColumn id="1" xr3:uid="{8DD8C15C-969A-4348-A666-A505EF01B4FB}" name="Impact Magnitude" dataDxfId="87"/>
    <tableColumn id="2" xr3:uid="{F98D7123-521C-4C49-A373-E13109FC035B}" name="Prompt" dataDxfId="86"/>
    <tableColumn id="3" xr3:uid="{54791CCD-0A9A-4145-A347-7827FD2C303D}" name="Response" dataDxfId="85"/>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52A6CDA-F661-44DE-9F88-3E2B6F2433F3}" name="tblOperationalObjectivesPrompts1640" displayName="tblOperationalObjectivesPrompts1640" ref="C19:E24" totalsRowShown="0" headerRowDxfId="84" dataDxfId="83">
  <autoFilter ref="C19:E24" xr:uid="{B367AB36-C3FA-43BC-A465-45E7905186F9}"/>
  <tableColumns count="3">
    <tableColumn id="1" xr3:uid="{F305EC84-4891-4445-81A7-24DF93A2E1FA}" name="Impact Magnitude" dataDxfId="82"/>
    <tableColumn id="2" xr3:uid="{B53E6250-0084-44B2-B0FF-8A7450EE55A5}" name="Prompt" dataDxfId="81"/>
    <tableColumn id="3" xr3:uid="{2DB02900-64C1-4EBE-B3C5-26DDDD60C131}" name="Response" dataDxfId="80"/>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05BEDC4-1A42-41AA-B7D6-B2DA6EF2DC63}" name="tblFinancialObjectivesPrompts1741" displayName="tblFinancialObjectivesPrompts1741" ref="C32:E37" totalsRowShown="0" headerRowDxfId="79" dataDxfId="78">
  <autoFilter ref="C32:E37" xr:uid="{CDA49DD3-0427-4E3F-8578-C3FCC4E21BFC}"/>
  <tableColumns count="3">
    <tableColumn id="1" xr3:uid="{FAE0EED5-64EE-4E3C-B77A-DC8074C3961C}" name="Impact Magnitude" dataDxfId="77"/>
    <tableColumn id="2" xr3:uid="{71FF4BD6-207E-4C3B-B2EE-F2564853062C}" name="Prompt" dataDxfId="76"/>
    <tableColumn id="3" xr3:uid="{F986A9D7-EBEF-43AD-9C9A-B573F6B1E3A8}" name="Response" dataDxfId="75"/>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F4783F5-0397-4184-8BA5-73D9FEC8A444}" name="tblObligations1842" displayName="tblObligations1842" ref="C45:E50" totalsRowShown="0" headerRowDxfId="74" dataDxfId="73">
  <autoFilter ref="C45:E50" xr:uid="{28D384D7-D4A2-45B2-9A91-0A8B145D46D3}"/>
  <tableColumns count="3">
    <tableColumn id="1" xr3:uid="{22E34050-297D-4ADA-97DC-CE4CC5D2EF15}" name="Impact Magnitude" dataDxfId="72"/>
    <tableColumn id="2" xr3:uid="{DEB9BBB3-938A-49A1-B595-B64230CC6D30}" name="Prompt" dataDxfId="71"/>
    <tableColumn id="3" xr3:uid="{BE2950B3-C8D5-460E-9DB8-27FDD3E0157B}" name="Response" dataDxfId="70"/>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B1E71CB-CBAE-40E0-8E43-17E2DBAA543D}" name="tblImpactDefinitions2945" displayName="tblImpactDefinitions2945" ref="C10:G16" totalsRowShown="0" headerRowDxfId="69" dataDxfId="67" headerRowBorderDxfId="68" tableBorderDxfId="66" totalsRowBorderDxfId="65">
  <autoFilter ref="C10:G16" xr:uid="{AC9EE49D-FD97-44FB-9443-D3A906BF843D}"/>
  <tableColumns count="5">
    <tableColumn id="1" xr3:uid="{F3AD8B7F-126A-4CF3-9DC6-D64FF62189DE}" name="Impact Scores" dataDxfId="64"/>
    <tableColumn id="2" xr3:uid="{DED4030E-F551-4AA4-AACF-660E6D67AD55}" name="Mission" dataDxfId="63">
      <calculatedColumnFormula>IF(ISBLANK('Impact Criteria Survey -EXAMPLE'!E6),"",'Impact Criteria Survey -EXAMPLE'!E6)</calculatedColumnFormula>
    </tableColumn>
    <tableColumn id="3" xr3:uid="{20148093-B4B3-4FF0-A110-16D84165B335}" name="Operational Objectives" dataDxfId="62"/>
    <tableColumn id="4" xr3:uid="{7750DC98-5F84-4E4D-B8C7-4B41B5B32211}" name="Financial Objectives" dataDxfId="61" dataCellStyle="Currency"/>
    <tableColumn id="5" xr3:uid="{25D5253D-A1E1-404B-91F1-8630ACB2CCCA}" name="Obligations" dataDxfId="60">
      <calculatedColumnFormula>IF(ISBLANK('1. Impact Criteria Survey '!E41),"",'1. Impact Criteria Survey '!E41)</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68D6C46-439B-4037-8400-FD7E4CACA45A}" name="tblInherentImpacts3046" displayName="tblInherentImpacts3046" ref="C41:G47" totalsRowShown="0" headerRowDxfId="59" dataDxfId="57" headerRowBorderDxfId="58" tableBorderDxfId="56" totalsRowBorderDxfId="55">
  <autoFilter ref="C41:G47" xr:uid="{BDD42A33-B57B-4DB3-BD86-31AC8D65158E}"/>
  <tableColumns count="5">
    <tableColumn id="1" xr3:uid="{3E7D73AD-97B9-4FDE-AFB5-46AFF196C758}" name="Asset Class" dataDxfId="54"/>
    <tableColumn id="2" xr3:uid="{D3E0FE09-DFB5-4A53-8726-3F5FF883D750}" name="Mission Impact" dataDxfId="53">
      <calculatedColumnFormula>IF(MAX(D43:D47)=0,"",MAX(D43,D47))</calculatedColumnFormula>
    </tableColumn>
    <tableColumn id="3" xr3:uid="{8E61C2D3-6B72-47FF-9679-B78CB125C4FC}" name="Operational Objectives Impact" dataDxfId="52">
      <calculatedColumnFormula>IF(MAX(E43:E47)=0,"",MAX(E43,E47))</calculatedColumnFormula>
    </tableColumn>
    <tableColumn id="4" xr3:uid="{7BF30770-5AAE-4342-9E04-97CE9C52CB12}" name="Financial Objectives Impact" dataDxfId="51">
      <calculatedColumnFormula>IF(MAX(F43:F47)=0,"",MAX(F43,F47))</calculatedColumnFormula>
    </tableColumn>
    <tableColumn id="5" xr3:uid="{0396D0B1-BA5C-48AB-B707-9D3AE1040E51}" name="Obligations Impact" dataDxfId="50">
      <calculatedColumnFormula>IF(MAX(G43:G47)=0,"",MAX(G43,G47))</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9713C22-1B33-45C5-BBE2-3BA67AA909EF}" name="tblLikelihoodDefinitions3147" displayName="tblLikelihoodDefinitions3147" ref="C22:E27" totalsRowShown="0" headerRowDxfId="49" dataDxfId="47" headerRowBorderDxfId="48" tableBorderDxfId="46" totalsRowBorderDxfId="45">
  <autoFilter ref="C22:E27" xr:uid="{6FB9D85E-A6E4-46DD-BB11-47B5DB255A08}"/>
  <tableColumns count="3">
    <tableColumn id="1" xr3:uid="{93F52962-9677-46AA-8CAF-D2BDF21D68D4}" name="Expectancy Score" dataDxfId="44"/>
    <tableColumn id="2" xr3:uid="{4155E0A7-14EB-463C-9E08-EFA0EE4535AB}" name="Expectancy" dataDxfId="43"/>
    <tableColumn id="3" xr3:uid="{3872D790-16D4-4CE4-9D37-0C6E4C687BBF}" name="Criteria" dataDxfId="4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D585E0-C864-4594-A12E-454215854C1C}" name="tblRiskRegister322" displayName="tblRiskRegister322" ref="B10:AJ142" totalsRowShown="0" headerRowDxfId="41" dataDxfId="40">
  <autoFilter ref="B10:AJ142" xr:uid="{D354E302-68B3-4802-8106-BFE351F57305}"/>
  <sortState xmlns:xlrd2="http://schemas.microsoft.com/office/spreadsheetml/2017/richdata2" ref="B11:AJ142">
    <sortCondition ref="B10:B142"/>
  </sortState>
  <tableColumns count="35">
    <tableColumn id="20" xr3:uid="{80691878-5261-456D-A879-36CE7C832564}" name="Asset Class" dataDxfId="39"/>
    <tableColumn id="22" xr3:uid="{ADC060B9-2C95-42C0-9DE6-1CFD83E74B12}" name="Asset Name" dataDxfId="38"/>
    <tableColumn id="36" xr3:uid="{F0E8DD83-C9F1-45AD-9D27-7BF5E80445A3}" name="CIS Safeguard #" dataDxfId="37"/>
    <tableColumn id="2" xr3:uid="{5F1D3A46-4635-45EE-886D-8129BAE43903}" name="CIS Safeguard Title" dataDxfId="36"/>
    <tableColumn id="30" xr3:uid="{88DBE0ED-7216-4057-B082-19934F6A7300}" name="IG1" dataDxfId="35"/>
    <tableColumn id="29" xr3:uid="{FA422FAE-EA63-4A8D-9B19-DF17436C7CDF}" name="IG2" dataDxfId="34"/>
    <tableColumn id="32" xr3:uid="{2B06C3D5-7971-4CE7-B6BD-2ED75D1EA50F}" name="NIST CSF Security Function" dataDxfId="33"/>
    <tableColumn id="35" xr3:uid="{38EAC5DE-BD1F-4A12-8602-4A643938E222}" name="Our Implementation" dataDxfId="32"/>
    <tableColumn id="1" xr3:uid="{8423CAC4-3005-4F25-B5EA-E73EDBE5A74F}" name="Evidence of Implementation" dataDxfId="31"/>
    <tableColumn id="34" xr3:uid="{1392BAA1-59E9-4956-999A-62554D454B45}" name="Vulnerabilities" dataDxfId="30"/>
    <tableColumn id="3" xr3:uid="{782376B1-9931-462A-A8FB-78A292DC8A53}" name="Safeguard Maturity Score" dataDxfId="29"/>
    <tableColumn id="27" xr3:uid="{346ADEB2-1F1D-48DB-9A3E-1AFC9366FAD5}" name="VCDB Index" dataDxfId="28">
      <calculatedColumnFormula>IFERROR(VLOOKUP(tblRiskRegister322[[#This Row],[Asset Class]],tblVCDBIndex[],4,FALSE),"")</calculatedColumnFormula>
    </tableColumn>
    <tableColumn id="9" xr3:uid="{F20E7F24-5130-4F77-84F1-C46308E87019}" name="Expectancy Score" dataDxfId="27">
      <calculatedColumnFormula>IFERROR(VLOOKUP(10*tblRiskRegister322[[#This Row],[Safeguard Maturity Score]]+tblRiskRegister322[[#This Row],[VCDB Index]],tblHITIndexWeightTable[],4,FALSE),"")</calculatedColumnFormula>
    </tableColumn>
    <tableColumn id="10" xr3:uid="{106835A6-7F4F-4012-A398-79563B800BDC}" name="Impact to Mission" dataDxfId="26">
      <calculatedColumnFormula>VLOOKUP(tblRiskRegister322[[#This Row],[Asset Class]],tblInherentImpacts3046[],2,FALSE)</calculatedColumnFormula>
    </tableColumn>
    <tableColumn id="11" xr3:uid="{8B908234-1DFF-4ED1-9EA3-7BB6AE4A1E69}" name="Impact to Operational Objectives" dataDxfId="25">
      <calculatedColumnFormula>VLOOKUP(tblRiskRegister322[[#This Row],[Asset Class]],tblInherentImpacts3046[],3,FALSE)</calculatedColumnFormula>
    </tableColumn>
    <tableColumn id="4" xr3:uid="{8E43F6AE-7DF9-406A-8B07-DAD8726C719A}" name="Impact to Financial Objectives" dataDxfId="24">
      <calculatedColumnFormula>VLOOKUP(tblRiskRegister322[[#This Row],[Asset Class]],tblInherentImpacts3046[],4,FALSE)</calculatedColumnFormula>
    </tableColumn>
    <tableColumn id="12" xr3:uid="{E4A3ADD3-7E42-4B59-9308-08B3B6C7274A}" name="Impact to Obligations" dataDxfId="23">
      <calculatedColumnFormula>VLOOKUP(tblRiskRegister322[[#This Row],[Asset Class]],tblInherentImpacts3046[],5,FALSE)</calculatedColumnFormula>
    </tableColumn>
    <tableColumn id="13" xr3:uid="{77AA18BA-E7D4-4DD6-9E95-8171F3B5805B}" name="Risk Score" dataDxfId="22">
      <calculatedColumnFormula>IFERROR(MAX(tblRiskRegister322[[#This Row],[Impact to Mission]:[Impact to Obligations]])*tblRiskRegister322[[#This Row],[Expectancy Score]],"")</calculatedColumnFormula>
    </tableColumn>
    <tableColumn id="14" xr3:uid="{BDE1C990-D52D-40EE-85CB-7691B700B8B0}" name="Risk Level" dataDxfId="21">
      <calculatedColumnFormula>tblRiskRegister322[[#This Row],[Risk Score]]</calculatedColumnFormula>
    </tableColumn>
    <tableColumn id="25" xr3:uid="{726FBDB8-DD30-4F67-896E-7D96BED55716}" name="Risk Treatment Option" dataDxfId="20"/>
    <tableColumn id="5" xr3:uid="{580D0DBE-7958-45D2-8CD2-3B80D95D553C}" name="Risk Treatment Safeguard" dataDxfId="19"/>
    <tableColumn id="6" xr3:uid="{A728B141-FE48-40BC-A10E-724F2BEE8A07}" name="Risk Treatment_x000a_Safeguard Title" dataDxfId="18"/>
    <tableColumn id="24" xr3:uid="{EFFAE801-138C-426A-898D-F46A863123E2}" name="Risk Treatment_x000a_Safeguard Description" dataDxfId="17"/>
    <tableColumn id="21" xr3:uid="{7C29A721-6CC3-4AC6-9034-AD521FE2922F}" name="Our Planned Implementation" dataDxfId="16"/>
    <tableColumn id="7" xr3:uid="{A21F528D-E428-42FB-A06F-93579A633C58}" name="Risk Treatment Safeguard Maturity Score" dataDxfId="15"/>
    <tableColumn id="15" xr3:uid="{FE5696B6-21A5-444D-B81A-AE2B55AC5632}" name="Risk Treatment_x000a_Safeguard Expectancy Score" dataDxfId="14">
      <calculatedColumnFormula>IFERROR(VLOOKUP(10*tblRiskRegister322[[#This Row],[Risk Treatment Safeguard Maturity Score]]+tblRiskRegister322[[#This Row],[VCDB Index]],tblHITIndexWeightTable[],4,FALSE),"")</calculatedColumnFormula>
    </tableColumn>
    <tableColumn id="16" xr3:uid="{EC79A448-C66F-4E00-A46D-E2303FDBC4DF}" name="Risk Treatment Safeguard Impact to Mission" dataDxfId="13">
      <calculatedColumnFormula>VLOOKUP(#REF!,#REF!,2,FALSE)</calculatedColumnFormula>
    </tableColumn>
    <tableColumn id="17" xr3:uid="{E684026E-5333-4A11-9E15-90EBC9102B81}" name="Risk Treatment Safeguard Impact to Operational Objectives" dataDxfId="12">
      <calculatedColumnFormula>VLOOKUP(#REF!,#REF!,3,FALSE)</calculatedColumnFormula>
    </tableColumn>
    <tableColumn id="31" xr3:uid="{7C411A34-79A1-4C3B-B900-7BEE9C3128CB}" name="Risk Treatment Safeguard Impact to Financial Objectives" dataDxfId="11">
      <calculatedColumnFormula>VLOOKUP(#REF!,#REF!,3,FALSE)</calculatedColumnFormula>
    </tableColumn>
    <tableColumn id="18" xr3:uid="{CE657541-C92D-488F-894D-ED33AB4EBD28}" name="Risk Treatment Safeguard Impact to Obligations" dataDxfId="10">
      <calculatedColumnFormula>VLOOKUP(#REF!,#REF!,4,FALSE)</calculatedColumnFormula>
    </tableColumn>
    <tableColumn id="28" xr3:uid="{1B611DCF-F8AD-4263-A290-9099F11C8AFA}" name="Risk Treatment Safeguard Risk Score" dataDxfId="9">
      <calculatedColumnFormula>IFERROR(MAX(tblRiskRegister322[[#This Row],[Risk Treatment Safeguard Impact to Mission]:[Risk Treatment Safeguard Impact to Obligations]])*tblRiskRegister322[[#This Row],[Risk Treatment
Safeguard Expectancy Score]],"")</calculatedColumnFormula>
    </tableColumn>
    <tableColumn id="26" xr3:uid="{31C77B38-2E32-4A32-A910-0B58E23980E1}" name="Reasonable and Acceptable" dataDxfId="8">
      <calculatedColumnFormula>IF(tblRiskRegister322[[#This Row],[Risk Score]]&gt;AcceptableRisk1,IF(tblRiskRegister322[[#This Row],[Risk Treatment Safeguard Risk Score]]&lt;AcceptableRisk1, IF(tblRiskRegister322[[#This Row],[Risk Treatment Safeguard Risk Score]]&lt;=tblRiskRegister322[[#This Row],[Risk Score]],"Yes","No"),"No"),"Yes")</calculatedColumnFormula>
    </tableColumn>
    <tableColumn id="19" xr3:uid="{DB159915-DBDA-40D8-B50F-672F5F2497BB}" name="Risk Treatment Safeguard Cost" dataDxfId="7" dataCellStyle="Currency"/>
    <tableColumn id="8" xr3:uid="{E66FCFD3-3CEC-4EEB-B2F2-C6392FCB198D}" name="Implementation Quarter" dataDxfId="6" dataCellStyle="Currency"/>
    <tableColumn id="23" xr3:uid="{20E2162F-F17C-4BB3-98E8-CF87C5E37F5B}" name="Implementation Year" dataDxfId="5"/>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2F5A40-485A-4E1B-BD23-45BDF2D79AAA}" name="tblCostImpacts335" displayName="tblCostImpacts335" ref="AL10:AN20" totalsRowShown="0" headerRowDxfId="4" dataDxfId="3">
  <autoFilter ref="AL10:AN20" xr:uid="{8DF8E5E0-4444-493D-923E-B023F5A18943}"/>
  <tableColumns count="3">
    <tableColumn id="1" xr3:uid="{CA450968-2EE5-4184-A7B5-3ADE21F0666C}" name="Impact to Financial Objectives" dataDxfId="2" dataCellStyle="Currency">
      <calculatedColumnFormula>SUMIF(tblRiskRegister322[[#All],[Implementation Year]],"="&amp;tblCostImpacts335[[#This Row],[Year]],tblRiskRegister322[[#All],[Risk Treatment Safeguard Cost]])</calculatedColumnFormula>
    </tableColumn>
    <tableColumn id="2" xr3:uid="{B21E7AA5-67E6-439A-8EEA-9252F7B2E130}" name="Year" dataDxfId="1"/>
    <tableColumn id="3" xr3:uid="{D07C27F0-02E9-4F9B-AB16-79670B802288}" name="Reasonable?" dataDxfId="0">
      <calculatedColumnFormula>IF(tblCostImpacts335[[#This Row],[Impact to Financial Objectives]]&lt;='Enterprise Parameters  -EXAMPLE'!$F$13,"Yes","No")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6.bin"/><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8.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6" Type="http://schemas.openxmlformats.org/officeDocument/2006/relationships/comments" Target="../comments2.xml"/><Relationship Id="rId5" Type="http://schemas.openxmlformats.org/officeDocument/2006/relationships/table" Target="../tables/table24.xml"/><Relationship Id="rId4" Type="http://schemas.openxmlformats.org/officeDocument/2006/relationships/table" Target="../tables/table2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vmlDrawing" Target="../drawings/vmlDrawing3.vml"/><Relationship Id="rId1" Type="http://schemas.openxmlformats.org/officeDocument/2006/relationships/printerSettings" Target="../printerSettings/printerSettings9.bin"/><Relationship Id="rId5" Type="http://schemas.openxmlformats.org/officeDocument/2006/relationships/comments" Target="../comments3.xml"/><Relationship Id="rId4"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2B83-8F2B-4B79-B206-22E83925782E}">
  <sheetPr codeName="Sheet1">
    <tabColor rgb="FF003B5C"/>
  </sheetPr>
  <dimension ref="A1"/>
  <sheetViews>
    <sheetView showGridLines="0" workbookViewId="0">
      <selection activeCell="P21" sqref="P21"/>
    </sheetView>
  </sheetViews>
  <sheetFormatPr baseColWidth="10" defaultColWidth="11.5" defaultRowHeight="15"/>
  <sheetData/>
  <sheetProtection sheet="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7F58-DB2D-4ED2-8A4A-E0A1B91B4352}">
  <sheetPr>
    <tabColor rgb="FF0086BF"/>
  </sheetPr>
  <dimension ref="C6:C9"/>
  <sheetViews>
    <sheetView workbookViewId="0">
      <selection activeCell="G18" sqref="G18"/>
    </sheetView>
  </sheetViews>
  <sheetFormatPr baseColWidth="10" defaultColWidth="8.83203125" defaultRowHeight="15"/>
  <cols>
    <col min="3" max="3" width="46.5" customWidth="1"/>
  </cols>
  <sheetData>
    <row r="6" spans="3:3">
      <c r="C6" s="185" t="s">
        <v>519</v>
      </c>
    </row>
    <row r="7" spans="3:3">
      <c r="C7" s="185"/>
    </row>
    <row r="8" spans="3:3">
      <c r="C8" s="185"/>
    </row>
    <row r="9" spans="3:3">
      <c r="C9" s="185"/>
    </row>
  </sheetData>
  <mergeCells count="1">
    <mergeCell ref="C6:C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5178-005D-4C75-8F85-5C99D3D85F4C}">
  <sheetPr codeName="Sheet3">
    <tabColor rgb="FF0086BF"/>
  </sheetPr>
  <dimension ref="B2:E51"/>
  <sheetViews>
    <sheetView showGridLines="0" topLeftCell="A29" zoomScaleNormal="100" workbookViewId="0">
      <selection activeCell="E4" sqref="E4"/>
    </sheetView>
  </sheetViews>
  <sheetFormatPr baseColWidth="10" defaultColWidth="9.1640625" defaultRowHeight="14"/>
  <cols>
    <col min="1" max="1" width="4.5" style="55" customWidth="1"/>
    <col min="2" max="2" width="10.5" style="79" customWidth="1"/>
    <col min="3" max="3" width="22.6640625" style="80" customWidth="1"/>
    <col min="4" max="4" width="52.5" style="80" customWidth="1"/>
    <col min="5" max="5" width="52.1640625" style="7" customWidth="1"/>
    <col min="6" max="16384" width="9.1640625" style="55"/>
  </cols>
  <sheetData>
    <row r="2" spans="2:5" ht="15">
      <c r="D2" s="76" t="s">
        <v>156</v>
      </c>
      <c r="E2" s="85" t="s">
        <v>453</v>
      </c>
    </row>
    <row r="3" spans="2:5" ht="57" thickBot="1">
      <c r="B3" s="78">
        <v>1</v>
      </c>
      <c r="C3" s="78" t="s">
        <v>6</v>
      </c>
      <c r="D3" s="62" t="s">
        <v>452</v>
      </c>
      <c r="E3" s="178" t="s">
        <v>537</v>
      </c>
    </row>
    <row r="4" spans="2:5" ht="15" thickTop="1"/>
    <row r="5" spans="2:5" ht="32.25" customHeight="1">
      <c r="C5" s="186" t="s">
        <v>280</v>
      </c>
      <c r="D5" s="187"/>
      <c r="E5" s="188"/>
    </row>
    <row r="7" spans="2:5" ht="15">
      <c r="C7" s="81" t="s">
        <v>243</v>
      </c>
      <c r="D7" s="81" t="s">
        <v>156</v>
      </c>
      <c r="E7" s="81" t="s">
        <v>453</v>
      </c>
    </row>
    <row r="8" spans="2:5" ht="28">
      <c r="C8" s="22" t="s">
        <v>157</v>
      </c>
      <c r="D8" s="82" t="s">
        <v>141</v>
      </c>
      <c r="E8" s="179" t="s">
        <v>522</v>
      </c>
    </row>
    <row r="9" spans="2:5" ht="28">
      <c r="C9" s="22" t="s">
        <v>138</v>
      </c>
      <c r="D9" s="82" t="s">
        <v>142</v>
      </c>
      <c r="E9" s="179" t="s">
        <v>525</v>
      </c>
    </row>
    <row r="10" spans="2:5" ht="56">
      <c r="C10" s="22" t="s">
        <v>139</v>
      </c>
      <c r="D10" s="82" t="s">
        <v>144</v>
      </c>
      <c r="E10" s="179" t="s">
        <v>526</v>
      </c>
    </row>
    <row r="11" spans="2:5" ht="42">
      <c r="C11" s="22" t="s">
        <v>140</v>
      </c>
      <c r="D11" s="82" t="s">
        <v>143</v>
      </c>
      <c r="E11" s="179" t="s">
        <v>527</v>
      </c>
    </row>
    <row r="12" spans="2:5" ht="28">
      <c r="C12" s="22" t="s">
        <v>145</v>
      </c>
      <c r="D12" s="82" t="s">
        <v>454</v>
      </c>
      <c r="E12" s="179" t="s">
        <v>528</v>
      </c>
    </row>
    <row r="13" spans="2:5">
      <c r="C13" s="56"/>
      <c r="D13" s="51"/>
    </row>
    <row r="14" spans="2:5" s="57" customFormat="1" ht="13">
      <c r="C14" s="52"/>
      <c r="D14" s="52"/>
      <c r="E14" s="60"/>
    </row>
    <row r="15" spans="2:5" ht="15">
      <c r="D15" s="76" t="s">
        <v>156</v>
      </c>
      <c r="E15" s="85" t="s">
        <v>453</v>
      </c>
    </row>
    <row r="16" spans="2:5" ht="45" customHeight="1" thickBot="1">
      <c r="B16" s="78">
        <v>2</v>
      </c>
      <c r="C16" s="78" t="s">
        <v>97</v>
      </c>
      <c r="D16" s="62" t="s">
        <v>146</v>
      </c>
      <c r="E16" s="178" t="s">
        <v>538</v>
      </c>
    </row>
    <row r="17" spans="2:5" ht="15" thickTop="1"/>
    <row r="18" spans="2:5" ht="32.25" customHeight="1">
      <c r="C18" s="186" t="s">
        <v>281</v>
      </c>
      <c r="D18" s="187"/>
      <c r="E18" s="188"/>
    </row>
    <row r="20" spans="2:5" ht="15">
      <c r="C20" s="81" t="s">
        <v>243</v>
      </c>
      <c r="D20" s="81" t="s">
        <v>156</v>
      </c>
      <c r="E20" s="81" t="s">
        <v>453</v>
      </c>
    </row>
    <row r="21" spans="2:5" ht="28">
      <c r="C21" s="22" t="s">
        <v>157</v>
      </c>
      <c r="D21" s="82" t="s">
        <v>148</v>
      </c>
      <c r="E21" s="178" t="s">
        <v>523</v>
      </c>
    </row>
    <row r="22" spans="2:5" ht="42">
      <c r="C22" s="22" t="s">
        <v>138</v>
      </c>
      <c r="D22" s="82" t="s">
        <v>149</v>
      </c>
      <c r="E22" s="178" t="s">
        <v>529</v>
      </c>
    </row>
    <row r="23" spans="2:5" ht="56">
      <c r="C23" s="22" t="s">
        <v>139</v>
      </c>
      <c r="D23" s="82" t="s">
        <v>150</v>
      </c>
      <c r="E23" s="178" t="s">
        <v>530</v>
      </c>
    </row>
    <row r="24" spans="2:5" ht="42">
      <c r="C24" s="22" t="s">
        <v>140</v>
      </c>
      <c r="D24" s="82" t="s">
        <v>151</v>
      </c>
      <c r="E24" s="178" t="s">
        <v>531</v>
      </c>
    </row>
    <row r="25" spans="2:5" ht="42">
      <c r="C25" s="22" t="s">
        <v>145</v>
      </c>
      <c r="D25" s="82" t="s">
        <v>455</v>
      </c>
      <c r="E25" s="178" t="s">
        <v>532</v>
      </c>
    </row>
    <row r="27" spans="2:5" s="57" customFormat="1" ht="13">
      <c r="C27" s="52"/>
      <c r="D27" s="52"/>
      <c r="E27" s="61"/>
    </row>
    <row r="28" spans="2:5" ht="15">
      <c r="D28" s="76" t="s">
        <v>156</v>
      </c>
      <c r="E28" s="85" t="s">
        <v>453</v>
      </c>
    </row>
    <row r="29" spans="2:5" ht="45" customHeight="1">
      <c r="B29" s="83">
        <v>3</v>
      </c>
      <c r="C29" s="83" t="s">
        <v>98</v>
      </c>
      <c r="D29" s="62" t="s">
        <v>147</v>
      </c>
      <c r="E29" s="180" t="s">
        <v>515</v>
      </c>
    </row>
    <row r="31" spans="2:5" ht="32.25" customHeight="1">
      <c r="C31" s="186" t="s">
        <v>282</v>
      </c>
      <c r="D31" s="187"/>
      <c r="E31" s="188"/>
    </row>
    <row r="33" spans="2:5" ht="15">
      <c r="C33" s="81" t="s">
        <v>243</v>
      </c>
      <c r="D33" s="81" t="s">
        <v>156</v>
      </c>
      <c r="E33" s="81" t="s">
        <v>453</v>
      </c>
    </row>
    <row r="34" spans="2:5" ht="28">
      <c r="C34" s="22" t="s">
        <v>157</v>
      </c>
      <c r="D34" s="82" t="s">
        <v>152</v>
      </c>
      <c r="E34" s="181" t="s">
        <v>515</v>
      </c>
    </row>
    <row r="35" spans="2:5" ht="42">
      <c r="C35" s="22" t="s">
        <v>138</v>
      </c>
      <c r="D35" s="82" t="s">
        <v>153</v>
      </c>
      <c r="E35" s="181" t="s">
        <v>515</v>
      </c>
    </row>
    <row r="36" spans="2:5" ht="56">
      <c r="C36" s="22" t="s">
        <v>139</v>
      </c>
      <c r="D36" s="82" t="s">
        <v>154</v>
      </c>
      <c r="E36" s="181" t="s">
        <v>515</v>
      </c>
    </row>
    <row r="37" spans="2:5" ht="42">
      <c r="C37" s="22" t="s">
        <v>140</v>
      </c>
      <c r="D37" s="82" t="s">
        <v>155</v>
      </c>
      <c r="E37" s="181" t="s">
        <v>515</v>
      </c>
    </row>
    <row r="38" spans="2:5">
      <c r="C38" s="22" t="s">
        <v>145</v>
      </c>
      <c r="D38" s="82" t="s">
        <v>250</v>
      </c>
      <c r="E38" s="84"/>
    </row>
    <row r="40" spans="2:5" s="57" customFormat="1" ht="13">
      <c r="C40" s="52"/>
      <c r="D40" s="52"/>
      <c r="E40" s="61"/>
    </row>
    <row r="41" spans="2:5" ht="15">
      <c r="D41" s="76" t="s">
        <v>156</v>
      </c>
      <c r="E41" s="85" t="s">
        <v>453</v>
      </c>
    </row>
    <row r="42" spans="2:5" ht="45" customHeight="1" thickBot="1">
      <c r="B42" s="78">
        <v>4</v>
      </c>
      <c r="C42" s="78" t="s">
        <v>23</v>
      </c>
      <c r="D42" s="62" t="s">
        <v>456</v>
      </c>
      <c r="E42" s="178" t="s">
        <v>539</v>
      </c>
    </row>
    <row r="43" spans="2:5" ht="15" thickTop="1"/>
    <row r="44" spans="2:5" ht="32.25" customHeight="1">
      <c r="C44" s="186" t="s">
        <v>283</v>
      </c>
      <c r="D44" s="187"/>
      <c r="E44" s="188"/>
    </row>
    <row r="46" spans="2:5" ht="15">
      <c r="C46" s="81" t="s">
        <v>243</v>
      </c>
      <c r="D46" s="81" t="s">
        <v>156</v>
      </c>
      <c r="E46" s="81" t="s">
        <v>453</v>
      </c>
    </row>
    <row r="47" spans="2:5">
      <c r="C47" s="22" t="s">
        <v>157</v>
      </c>
      <c r="D47" s="62" t="s">
        <v>258</v>
      </c>
      <c r="E47" s="179" t="s">
        <v>524</v>
      </c>
    </row>
    <row r="48" spans="2:5" ht="28">
      <c r="C48" s="22" t="s">
        <v>138</v>
      </c>
      <c r="D48" s="62" t="s">
        <v>457</v>
      </c>
      <c r="E48" s="179" t="s">
        <v>533</v>
      </c>
    </row>
    <row r="49" spans="3:5" ht="28">
      <c r="C49" s="22" t="s">
        <v>139</v>
      </c>
      <c r="D49" s="62" t="s">
        <v>256</v>
      </c>
      <c r="E49" s="179" t="s">
        <v>534</v>
      </c>
    </row>
    <row r="50" spans="3:5" ht="56">
      <c r="C50" s="22" t="s">
        <v>140</v>
      </c>
      <c r="D50" s="62" t="s">
        <v>458</v>
      </c>
      <c r="E50" s="179" t="s">
        <v>535</v>
      </c>
    </row>
    <row r="51" spans="3:5" ht="28">
      <c r="C51" s="22" t="s">
        <v>145</v>
      </c>
      <c r="D51" s="62" t="s">
        <v>459</v>
      </c>
      <c r="E51" s="179" t="s">
        <v>536</v>
      </c>
    </row>
  </sheetData>
  <sheetProtection sheet="1" insertRows="0" sort="0" autoFilter="0"/>
  <mergeCells count="4">
    <mergeCell ref="C5:E5"/>
    <mergeCell ref="C18:E18"/>
    <mergeCell ref="C31:E31"/>
    <mergeCell ref="C44:E44"/>
  </mergeCells>
  <pageMargins left="0.7" right="0.7" top="0.75" bottom="0.75" header="0.3" footer="0.3"/>
  <pageSetup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B48D-930A-4BEC-A9BC-ABBFE295C7DD}">
  <sheetPr codeName="Sheet4">
    <tabColor rgb="FF0086BF"/>
  </sheetPr>
  <dimension ref="B1:G48"/>
  <sheetViews>
    <sheetView showGridLines="0" topLeftCell="A15" zoomScaleNormal="100" workbookViewId="0">
      <selection activeCell="D23" sqref="D23"/>
    </sheetView>
  </sheetViews>
  <sheetFormatPr baseColWidth="10" defaultColWidth="8.83203125" defaultRowHeight="15"/>
  <cols>
    <col min="1" max="1" width="4.1640625" customWidth="1"/>
    <col min="2" max="2" width="8.6640625" style="91" customWidth="1"/>
    <col min="3" max="3" width="41.1640625" customWidth="1"/>
    <col min="4" max="4" width="38.6640625" customWidth="1"/>
    <col min="5" max="5" width="35.1640625" customWidth="1"/>
    <col min="6" max="6" width="24.5" customWidth="1"/>
    <col min="7" max="7" width="33.5" customWidth="1"/>
  </cols>
  <sheetData>
    <row r="1" spans="2:7" s="2" customFormat="1" ht="13">
      <c r="B1" s="54"/>
      <c r="D1" s="8"/>
    </row>
    <row r="2" spans="2:7" s="2" customFormat="1" ht="12.75" customHeight="1">
      <c r="B2" s="189">
        <v>1</v>
      </c>
      <c r="C2" s="189" t="s">
        <v>159</v>
      </c>
      <c r="D2" s="86" t="s">
        <v>96</v>
      </c>
      <c r="E2" s="87" t="s">
        <v>516</v>
      </c>
    </row>
    <row r="3" spans="2:7" s="2" customFormat="1" ht="15" customHeight="1">
      <c r="B3" s="190"/>
      <c r="C3" s="190"/>
      <c r="D3" s="86" t="s">
        <v>24</v>
      </c>
      <c r="E3" s="88" t="s">
        <v>517</v>
      </c>
    </row>
    <row r="4" spans="2:7" s="2" customFormat="1" ht="15" customHeight="1">
      <c r="B4" s="191"/>
      <c r="C4" s="191"/>
      <c r="D4" s="86" t="s">
        <v>25</v>
      </c>
      <c r="E4" s="89">
        <v>45053</v>
      </c>
    </row>
    <row r="5" spans="2:7" s="2" customFormat="1" ht="13">
      <c r="B5" s="54"/>
      <c r="D5" s="8"/>
    </row>
    <row r="6" spans="2:7" s="2" customFormat="1" ht="13">
      <c r="B6" s="3"/>
      <c r="C6" s="3"/>
      <c r="D6" s="4"/>
      <c r="E6" s="4"/>
      <c r="F6" s="4"/>
      <c r="G6" s="4"/>
    </row>
    <row r="7" spans="2:7" s="2" customFormat="1" ht="13">
      <c r="B7" s="54"/>
      <c r="D7" s="8"/>
    </row>
    <row r="8" spans="2:7" s="2" customFormat="1" ht="39" customHeight="1">
      <c r="B8" s="90">
        <v>2</v>
      </c>
      <c r="C8" s="43" t="s">
        <v>19</v>
      </c>
      <c r="D8" s="194"/>
      <c r="E8" s="194"/>
      <c r="F8" s="194"/>
      <c r="G8" s="194"/>
    </row>
    <row r="9" spans="2:7" s="2" customFormat="1" ht="13">
      <c r="B9" s="54"/>
    </row>
    <row r="10" spans="2:7" s="2" customFormat="1">
      <c r="B10" s="54"/>
      <c r="C10" s="92" t="s">
        <v>5</v>
      </c>
      <c r="D10" s="93" t="s">
        <v>6</v>
      </c>
      <c r="E10" s="93" t="s">
        <v>97</v>
      </c>
      <c r="F10" s="94" t="s">
        <v>98</v>
      </c>
      <c r="G10" s="95" t="s">
        <v>23</v>
      </c>
    </row>
    <row r="11" spans="2:7" s="2" customFormat="1" ht="33" customHeight="1">
      <c r="B11" s="54"/>
      <c r="C11" s="96" t="s">
        <v>4</v>
      </c>
      <c r="D11" s="97" t="s">
        <v>540</v>
      </c>
      <c r="E11" s="97" t="str">
        <f>IF(ISBLANK('1. Impact Criteria Survey '!E16),"",'1. Impact Criteria Survey '!E16)</f>
        <v>•	Keep banking systems like MYBANK, ERP, ATMs, and mobile apps running smoothly.
•	Protect customer and employee information from unauthorized access.
•	Ensure daily operations such as deposits, withdrawals, loan processing, payroll, and reporting run without disruption.
•	Maintain compliance with financial and cybersecurity regulations.</v>
      </c>
      <c r="F11" s="182" t="str">
        <f>IF(ISBLANK('1. Impact Criteria Survey '!E29),"",'1. Impact Criteria Survey '!E29)</f>
        <v>Not Applicable for MIS 595 Course</v>
      </c>
      <c r="G11" s="98" t="str">
        <f>IF(ISBLANK('1. Impact Criteria Survey '!E42),"",'1. Impact Criteria Survey '!E42)</f>
        <v>•	Protect customer data (PII, account details, transactions).
•	Ensure fair and uninterrupted access to financial services.
•	Report breaches or outages to regulators when required.
•	Prevent harm to customers, employees, and third-party partners</v>
      </c>
    </row>
    <row r="12" spans="2:7" s="2" customFormat="1" ht="28">
      <c r="B12" s="54"/>
      <c r="C12" s="99" t="s">
        <v>133</v>
      </c>
      <c r="D12" s="74" t="str">
        <f>IF(ISBLANK('1. Impact Criteria Survey '!E8),"",'1. Impact Criteria Survey '!E8)</f>
        <v>A small disruption occurs but does not affect customers or the bank’s ability to serve them.</v>
      </c>
      <c r="E12" s="74" t="str">
        <f>IF(ISBLANK('1. Impact Criteria Survey '!E21),"",'1. Impact Criteria Survey '!E21)</f>
        <v>Routine work may slow down briefly but returns to normal without extra effort.</v>
      </c>
      <c r="F12" s="183" t="str">
        <f>IF(ISBLANK('1. Impact Criteria Survey '!E34),"",'1. Impact Criteria Survey '!E34)</f>
        <v>Not Applicable for MIS 595 Course</v>
      </c>
      <c r="G12" s="75" t="str">
        <f>IF(ISBLANK('1. Impact Criteria Survey '!E47),"",'1. Impact Criteria Survey '!E47)</f>
        <v>No harm to customers or partners; no regulatory action required.</v>
      </c>
    </row>
    <row r="13" spans="2:7" s="2" customFormat="1" ht="28">
      <c r="B13" s="54"/>
      <c r="C13" s="99" t="s">
        <v>134</v>
      </c>
      <c r="D13" s="74" t="str">
        <f>IF(ISBLANK('1. Impact Criteria Survey '!E9),"",'1. Impact Criteria Survey '!E9)</f>
        <v>The bank can still achieve its mission with little or no impact on customer trust</v>
      </c>
      <c r="E13" s="74" t="str">
        <f>IF(ISBLANK('1. Impact Criteria Survey '!E22),"",'1. Impact Criteria Survey '!E22)</f>
        <v>Minor issues may require small adjustments but no major cost or downtime</v>
      </c>
      <c r="F13" s="183" t="str">
        <f>IF(ISBLANK('1. Impact Criteria Survey '!E35),"",'1. Impact Criteria Survey '!E35)</f>
        <v>Not Applicable for MIS 595 Course</v>
      </c>
      <c r="G13" s="75" t="str">
        <f>IF(ISBLANK('1. Impact Criteria Survey '!E48),"",'1. Impact Criteria Survey '!E48)</f>
        <v>No harm to customers, and any inconvenience is easily corrected.</v>
      </c>
    </row>
    <row r="14" spans="2:7" s="2" customFormat="1" ht="42">
      <c r="B14" s="54"/>
      <c r="C14" s="99" t="s">
        <v>135</v>
      </c>
      <c r="D14" s="74" t="str">
        <f>IF(ISBLANK('1. Impact Criteria Survey '!E10),"",'1. Impact Criteria Survey '!E10)</f>
        <v>The bank must reinvest time or money to fix the situation before it can continue serving customers reliably</v>
      </c>
      <c r="E14" s="74" t="str">
        <f>IF(ISBLANK('1. Impact Criteria Survey '!E23),"",'1. Impact Criteria Survey '!E23)</f>
        <v>Operations are disrupted enough that extra resources or overtime work are needed to catch up.</v>
      </c>
      <c r="F14" s="183" t="str">
        <f>IF(ISBLANK('1. Impact Criteria Survey '!E36),"",'1. Impact Criteria Survey '!E36)</f>
        <v>Not Applicable for MIS 595 Course</v>
      </c>
      <c r="G14" s="75" t="str">
        <f>IF(ISBLANK('1. Impact Criteria Survey '!E49),"",'1. Impact Criteria Survey '!E49)</f>
        <v>Customers or partners may experience temporary harm or delayed services, but the harm is fixable.</v>
      </c>
    </row>
    <row r="15" spans="2:7" s="2" customFormat="1" ht="42">
      <c r="B15" s="54"/>
      <c r="C15" s="99" t="s">
        <v>136</v>
      </c>
      <c r="D15" s="74" t="str">
        <f>IF(ISBLANK('1. Impact Criteria Survey '!E11),"",'1. Impact Criteria Survey '!E11)</f>
        <v>The bank’s ability to provide services is significantly affected for an extended time.</v>
      </c>
      <c r="E15" s="74" t="str">
        <f>IF(ISBLANK('1. Impact Criteria Survey '!E24),"",'1. Impact Criteria Survey '!E24)</f>
        <v>Key systems become unavailable, causing major downtime, financial loss, or regulatory concerns.</v>
      </c>
      <c r="F15" s="183" t="str">
        <f>IF(ISBLANK('1. Impact Criteria Survey '!E37),"",'1. Impact Criteria Survey '!E37)</f>
        <v>Not Applicable for MIS 595 Course</v>
      </c>
      <c r="G15" s="75" t="str">
        <f>IF(ISBLANK('1. Impact Criteria Survey '!E50),"",'1. Impact Criteria Survey '!E50)</f>
        <v>Customers may face real impacts such as delayed transactions, financial stress, or other risks.</v>
      </c>
    </row>
    <row r="16" spans="2:7" s="2" customFormat="1" ht="42">
      <c r="B16" s="54"/>
      <c r="C16" s="100" t="s">
        <v>137</v>
      </c>
      <c r="D16" s="145" t="str">
        <f>IF(ISBLANK('1. Impact Criteria Survey '!E12),"",'1. Impact Criteria Survey '!E12)</f>
        <v>The bank cannot achieve its mission, and customer trust is severely damaged.</v>
      </c>
      <c r="E16" s="145" t="str">
        <f>IF(ISBLANK('1. Impact Criteria Survey '!E25),"",'1. Impact Criteria Survey '!E25)</f>
        <v>Critical systems fail completely, operations stop, and recovery requires full restoration efforts</v>
      </c>
      <c r="F16" s="101" t="str">
        <f>IF(ISBLANK('1. Impact Criteria Survey '!E38),"",'1. Impact Criteria Survey '!E38)</f>
        <v/>
      </c>
      <c r="G16" s="102" t="str">
        <f>IF(ISBLANK('1. Impact Criteria Survey '!E51),"",'1. Impact Criteria Survey '!E51)</f>
        <v>Harm to customers or partners is long-lasting or not fully correctable; regulators may intervene.</v>
      </c>
    </row>
    <row r="17" spans="2:7" s="2" customFormat="1" ht="13">
      <c r="B17" s="54"/>
      <c r="D17" s="8"/>
    </row>
    <row r="18" spans="2:7" s="2" customFormat="1" ht="13">
      <c r="B18" s="3"/>
      <c r="C18" s="3"/>
      <c r="D18" s="4"/>
      <c r="E18" s="4"/>
      <c r="F18" s="4"/>
      <c r="G18" s="4"/>
    </row>
    <row r="19" spans="2:7" s="2" customFormat="1" ht="13">
      <c r="B19" s="54"/>
      <c r="D19" s="8"/>
    </row>
    <row r="20" spans="2:7" s="2" customFormat="1" ht="16">
      <c r="B20" s="90">
        <v>3</v>
      </c>
      <c r="C20" s="43" t="s">
        <v>422</v>
      </c>
      <c r="D20" s="195"/>
      <c r="E20" s="196"/>
    </row>
    <row r="21" spans="2:7" s="2" customFormat="1" ht="16">
      <c r="B21" s="54"/>
      <c r="C21" s="36"/>
      <c r="D21" s="44"/>
      <c r="E21" s="36"/>
    </row>
    <row r="22" spans="2:7" s="2" customFormat="1" ht="14">
      <c r="B22" s="54"/>
      <c r="C22" s="103" t="s">
        <v>423</v>
      </c>
      <c r="D22" s="104" t="s">
        <v>424</v>
      </c>
      <c r="E22" s="105" t="s">
        <v>234</v>
      </c>
    </row>
    <row r="23" spans="2:7" s="2" customFormat="1" ht="28">
      <c r="B23" s="54"/>
      <c r="C23" s="96">
        <v>1</v>
      </c>
      <c r="D23" s="31" t="s">
        <v>235</v>
      </c>
      <c r="E23" s="106" t="s">
        <v>460</v>
      </c>
    </row>
    <row r="24" spans="2:7" s="2" customFormat="1" ht="28">
      <c r="B24" s="54"/>
      <c r="C24" s="96">
        <v>2</v>
      </c>
      <c r="D24" s="31" t="s">
        <v>236</v>
      </c>
      <c r="E24" s="106" t="s">
        <v>461</v>
      </c>
    </row>
    <row r="25" spans="2:7" s="2" customFormat="1" ht="28">
      <c r="B25" s="54"/>
      <c r="C25" s="96">
        <v>3</v>
      </c>
      <c r="D25" s="31" t="s">
        <v>237</v>
      </c>
      <c r="E25" s="106" t="s">
        <v>462</v>
      </c>
    </row>
    <row r="26" spans="2:7" s="2" customFormat="1" ht="28">
      <c r="B26" s="54"/>
      <c r="C26" s="96">
        <v>4</v>
      </c>
      <c r="D26" s="31" t="s">
        <v>238</v>
      </c>
      <c r="E26" s="106" t="s">
        <v>463</v>
      </c>
    </row>
    <row r="27" spans="2:7" s="2" customFormat="1" ht="28">
      <c r="B27" s="54"/>
      <c r="C27" s="107">
        <v>5</v>
      </c>
      <c r="D27" s="123" t="s">
        <v>239</v>
      </c>
      <c r="E27" s="108" t="s">
        <v>464</v>
      </c>
    </row>
    <row r="28" spans="2:7" s="2" customFormat="1" ht="13">
      <c r="B28" s="54"/>
      <c r="D28" s="8"/>
    </row>
    <row r="29" spans="2:7" s="2" customFormat="1" ht="13">
      <c r="B29" s="3"/>
      <c r="C29" s="3"/>
      <c r="D29" s="4"/>
      <c r="E29" s="4"/>
      <c r="F29" s="4"/>
      <c r="G29" s="4"/>
    </row>
    <row r="30" spans="2:7" s="2" customFormat="1" ht="13">
      <c r="B30" s="54"/>
      <c r="D30" s="8"/>
    </row>
    <row r="31" spans="2:7" s="2" customFormat="1" ht="16">
      <c r="B31" s="90">
        <v>4</v>
      </c>
      <c r="C31" s="43" t="s">
        <v>8</v>
      </c>
      <c r="D31" s="197"/>
      <c r="E31" s="198"/>
    </row>
    <row r="32" spans="2:7" s="2" customFormat="1" ht="13">
      <c r="B32" s="54"/>
      <c r="D32" s="6"/>
      <c r="E32" s="54"/>
    </row>
    <row r="33" spans="2:7" s="2" customFormat="1" ht="12.75" customHeight="1">
      <c r="B33" s="54"/>
      <c r="C33" s="194" t="s">
        <v>465</v>
      </c>
      <c r="D33" s="124" t="s">
        <v>424</v>
      </c>
      <c r="E33" s="125" t="s">
        <v>240</v>
      </c>
    </row>
    <row r="34" spans="2:7" s="2" customFormat="1" ht="14" thickBot="1">
      <c r="B34" s="54"/>
      <c r="C34" s="194"/>
      <c r="D34" s="63">
        <v>3</v>
      </c>
      <c r="E34" s="64">
        <v>3</v>
      </c>
    </row>
    <row r="35" spans="2:7" s="2" customFormat="1" ht="14" thickBot="1">
      <c r="B35" s="54"/>
      <c r="C35" s="199"/>
      <c r="D35" s="39" t="s">
        <v>241</v>
      </c>
      <c r="E35" s="40">
        <f>D34*E34</f>
        <v>9</v>
      </c>
    </row>
    <row r="36" spans="2:7" s="2" customFormat="1" ht="13">
      <c r="B36" s="54"/>
      <c r="D36" s="8"/>
    </row>
    <row r="37" spans="2:7" s="2" customFormat="1" ht="13">
      <c r="B37" s="3"/>
      <c r="C37" s="3"/>
      <c r="D37" s="4"/>
      <c r="E37" s="4"/>
      <c r="F37" s="4"/>
      <c r="G37" s="4"/>
    </row>
    <row r="38" spans="2:7" s="2" customFormat="1" ht="13">
      <c r="B38" s="54"/>
      <c r="D38" s="8"/>
    </row>
    <row r="39" spans="2:7" s="2" customFormat="1" ht="45" customHeight="1">
      <c r="B39" s="90">
        <v>5</v>
      </c>
      <c r="C39" s="43" t="s">
        <v>27</v>
      </c>
      <c r="D39" s="192" t="s">
        <v>466</v>
      </c>
      <c r="E39" s="193"/>
      <c r="F39" s="193"/>
      <c r="G39" s="193"/>
    </row>
    <row r="40" spans="2:7" s="2" customFormat="1" ht="13">
      <c r="B40" s="54"/>
      <c r="C40" s="6"/>
      <c r="D40" s="7"/>
      <c r="E40" s="7"/>
      <c r="F40" s="7"/>
    </row>
    <row r="41" spans="2:7" s="2" customFormat="1" ht="30">
      <c r="B41" s="54"/>
      <c r="C41" s="92" t="s">
        <v>22</v>
      </c>
      <c r="D41" s="93" t="s">
        <v>17</v>
      </c>
      <c r="E41" s="93" t="s">
        <v>99</v>
      </c>
      <c r="F41" s="94" t="s">
        <v>158</v>
      </c>
      <c r="G41" s="95" t="s">
        <v>18</v>
      </c>
    </row>
    <row r="42" spans="2:7" s="2" customFormat="1" ht="13">
      <c r="B42" s="54"/>
      <c r="C42" s="109" t="s">
        <v>95</v>
      </c>
      <c r="D42" s="110">
        <f t="shared" ref="D42" si="0">IF(MAX(D43:D47)=0,"",MAX(D43:D47))</f>
        <v>5</v>
      </c>
      <c r="E42" s="110">
        <f>IF(MAX(E43:E47)=0,"",MAX(E43:E47))</f>
        <v>5</v>
      </c>
      <c r="F42" s="110">
        <v>1</v>
      </c>
      <c r="G42" s="111">
        <f>IF(MAX(G43:G47)=0,"",MAX(G43:G47))</f>
        <v>5</v>
      </c>
    </row>
    <row r="43" spans="2:7" s="2" customFormat="1" ht="13">
      <c r="B43" s="54"/>
      <c r="C43" s="99" t="s">
        <v>91</v>
      </c>
      <c r="D43" s="112">
        <v>3</v>
      </c>
      <c r="E43" s="112">
        <v>3</v>
      </c>
      <c r="F43" s="112">
        <v>1</v>
      </c>
      <c r="G43" s="113">
        <v>3</v>
      </c>
    </row>
    <row r="44" spans="2:7" s="2" customFormat="1" ht="13">
      <c r="B44" s="54"/>
      <c r="C44" s="109" t="s">
        <v>92</v>
      </c>
      <c r="D44" s="114">
        <v>3</v>
      </c>
      <c r="E44" s="114">
        <v>4</v>
      </c>
      <c r="F44" s="114">
        <v>1</v>
      </c>
      <c r="G44" s="115">
        <v>4</v>
      </c>
    </row>
    <row r="45" spans="2:7" s="2" customFormat="1" ht="13">
      <c r="B45" s="54"/>
      <c r="C45" s="99" t="s">
        <v>90</v>
      </c>
      <c r="D45" s="112">
        <v>4</v>
      </c>
      <c r="E45" s="112">
        <v>4</v>
      </c>
      <c r="F45" s="112">
        <v>1</v>
      </c>
      <c r="G45" s="113">
        <v>4</v>
      </c>
    </row>
    <row r="46" spans="2:7" s="2" customFormat="1" ht="13">
      <c r="B46" s="54"/>
      <c r="C46" s="109" t="s">
        <v>93</v>
      </c>
      <c r="D46" s="114">
        <v>4</v>
      </c>
      <c r="E46" s="114">
        <v>5</v>
      </c>
      <c r="F46" s="114">
        <v>1</v>
      </c>
      <c r="G46" s="115">
        <v>5</v>
      </c>
    </row>
    <row r="47" spans="2:7" s="2" customFormat="1" ht="13">
      <c r="B47" s="54"/>
      <c r="C47" s="100" t="s">
        <v>94</v>
      </c>
      <c r="D47" s="116">
        <v>5</v>
      </c>
      <c r="E47" s="116">
        <v>5</v>
      </c>
      <c r="F47" s="116">
        <v>1</v>
      </c>
      <c r="G47" s="117">
        <v>5</v>
      </c>
    </row>
    <row r="48" spans="2:7" s="2" customFormat="1" ht="13">
      <c r="B48" s="54"/>
      <c r="D48" s="8"/>
    </row>
  </sheetData>
  <mergeCells count="7">
    <mergeCell ref="B2:B4"/>
    <mergeCell ref="D39:G39"/>
    <mergeCell ref="C2:C4"/>
    <mergeCell ref="D8:G8"/>
    <mergeCell ref="D20:E20"/>
    <mergeCell ref="D31:E31"/>
    <mergeCell ref="C33:C35"/>
  </mergeCells>
  <dataValidations count="1">
    <dataValidation type="list" allowBlank="1" showInputMessage="1" showErrorMessage="1" sqref="D43:G47 D34:E34" xr:uid="{0B7FA91E-6D46-4E2A-9021-369148D97762}">
      <formula1>"1,2,3,4,5"</formula1>
    </dataValidation>
  </dataValidations>
  <pageMargins left="0.7" right="0.7" top="0.75" bottom="0.75" header="0.3" footer="0.3"/>
  <pageSetup orientation="portrait" r:id="rId1"/>
  <ignoredErrors>
    <ignoredError sqref="D12:D16 E11 G11" calculatedColumn="1"/>
  </ignoredErrors>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8312-D345-4EA8-BCD2-72355D1B258F}">
  <sheetPr codeName="Sheet15">
    <tabColor rgb="FF0086BF"/>
  </sheetPr>
  <dimension ref="B2:AO140"/>
  <sheetViews>
    <sheetView showGridLines="0" tabSelected="1" topLeftCell="H1" zoomScale="90" zoomScaleNormal="90" workbookViewId="0">
      <pane ySplit="10" topLeftCell="A250" activePane="bottomLeft" state="frozen"/>
      <selection pane="bottomLeft" activeCell="AH109" sqref="AH109"/>
    </sheetView>
  </sheetViews>
  <sheetFormatPr baseColWidth="10" defaultColWidth="9.1640625" defaultRowHeight="13"/>
  <cols>
    <col min="1" max="1" width="9.1640625" style="2"/>
    <col min="2" max="2" width="21.5" style="2" customWidth="1"/>
    <col min="3" max="3" width="9.33203125" style="2" customWidth="1"/>
    <col min="4" max="4" width="14.6640625" style="2" customWidth="1"/>
    <col min="5" max="5" width="31.1640625" style="2" customWidth="1"/>
    <col min="6" max="6" width="30.33203125" style="8" customWidth="1"/>
    <col min="7" max="7" width="33.83203125" style="8" customWidth="1"/>
    <col min="8" max="8" width="18.83203125" style="8" customWidth="1"/>
    <col min="9" max="11" width="7.83203125" style="8" customWidth="1"/>
    <col min="12" max="14" width="7.83203125" style="2" customWidth="1"/>
    <col min="15" max="16" width="13.33203125" style="2" customWidth="1"/>
    <col min="17" max="17" width="21.5" style="2" customWidth="1"/>
    <col min="18" max="18" width="13.33203125" style="2" customWidth="1"/>
    <col min="19" max="19" width="31.33203125" style="2" customWidth="1"/>
    <col min="20" max="20" width="72.6640625" style="2" customWidth="1"/>
    <col min="21" max="21" width="16.5" style="2" customWidth="1"/>
    <col min="22" max="22" width="20.5" style="54" customWidth="1"/>
    <col min="23" max="23" width="26.5" style="2" customWidth="1"/>
    <col min="24" max="24" width="26" style="2" customWidth="1"/>
    <col min="25" max="25" width="67.83203125" style="2" customWidth="1"/>
    <col min="26" max="26" width="22.5" style="2" customWidth="1"/>
    <col min="27" max="27" width="18.1640625" style="2" customWidth="1"/>
    <col min="28" max="28" width="20.5" style="2" customWidth="1"/>
    <col min="29" max="33" width="15.5" style="2" customWidth="1"/>
    <col min="34" max="36" width="20.6640625" style="2" customWidth="1"/>
    <col min="37" max="37" width="20.1640625" style="2" customWidth="1"/>
    <col min="38" max="38" width="13.5" style="2" bestFit="1" customWidth="1"/>
    <col min="39" max="39" width="14.1640625" style="2" bestFit="1" customWidth="1"/>
    <col min="40" max="40" width="13.83203125" style="2" customWidth="1"/>
    <col min="41" max="16384" width="9.1640625" style="2"/>
  </cols>
  <sheetData>
    <row r="2" spans="2:41" ht="16">
      <c r="B2" s="206" t="s">
        <v>159</v>
      </c>
      <c r="C2" s="175"/>
      <c r="D2" s="1" t="s">
        <v>96</v>
      </c>
      <c r="E2" s="209" t="s">
        <v>541</v>
      </c>
      <c r="F2" s="210"/>
      <c r="G2" s="46"/>
      <c r="H2" s="46"/>
      <c r="I2" s="46"/>
      <c r="J2" s="46"/>
      <c r="K2" s="46"/>
    </row>
    <row r="3" spans="2:41" ht="16">
      <c r="B3" s="207"/>
      <c r="C3" s="176"/>
      <c r="D3" s="1" t="s">
        <v>24</v>
      </c>
      <c r="E3" s="209" t="str">
        <f>IF(ISBLANK('2. Enterprise Parameters'!E3),"",'2. Enterprise Parameters'!E3)</f>
        <v>ALL BRANCHES</v>
      </c>
      <c r="F3" s="210"/>
      <c r="G3" s="46"/>
      <c r="H3" s="46"/>
      <c r="I3" s="46"/>
      <c r="J3" s="46"/>
      <c r="K3" s="46"/>
    </row>
    <row r="4" spans="2:41" ht="22.5" customHeight="1">
      <c r="B4" s="208"/>
      <c r="C4" s="177"/>
      <c r="D4" s="1" t="s">
        <v>25</v>
      </c>
      <c r="E4" s="211" t="s">
        <v>586</v>
      </c>
      <c r="F4" s="212"/>
      <c r="G4" s="59"/>
      <c r="H4" s="59"/>
      <c r="I4" s="59"/>
      <c r="J4" s="59"/>
      <c r="K4" s="59"/>
    </row>
    <row r="6" spans="2:41">
      <c r="B6" s="3"/>
      <c r="C6" s="3"/>
      <c r="D6" s="3"/>
      <c r="E6" s="3"/>
      <c r="F6" s="4"/>
      <c r="G6" s="4"/>
      <c r="H6" s="4"/>
      <c r="I6" s="4"/>
      <c r="J6" s="4"/>
      <c r="K6" s="4"/>
      <c r="L6" s="4"/>
      <c r="M6" s="4"/>
      <c r="N6" s="4"/>
      <c r="O6" s="4"/>
      <c r="P6" s="4"/>
      <c r="Q6" s="4"/>
      <c r="R6" s="4"/>
      <c r="S6" s="4"/>
      <c r="T6" s="4"/>
      <c r="U6" s="4"/>
      <c r="V6" s="12"/>
      <c r="W6" s="4"/>
      <c r="X6" s="4"/>
      <c r="Y6" s="4"/>
      <c r="Z6" s="4"/>
      <c r="AA6" s="4"/>
      <c r="AB6" s="4"/>
      <c r="AC6" s="4"/>
      <c r="AD6" s="4"/>
      <c r="AE6" s="4"/>
      <c r="AF6" s="4"/>
      <c r="AG6" s="4"/>
      <c r="AH6" s="4"/>
      <c r="AI6" s="4"/>
      <c r="AJ6" s="4"/>
      <c r="AK6" s="4"/>
    </row>
    <row r="8" spans="2:41" s="36" customFormat="1" ht="15.75" customHeight="1">
      <c r="B8" s="126" t="s">
        <v>26</v>
      </c>
      <c r="C8" s="126"/>
      <c r="D8" s="213" t="s">
        <v>116</v>
      </c>
      <c r="E8" s="213"/>
      <c r="F8" s="213"/>
      <c r="G8" s="213"/>
      <c r="H8" s="213"/>
      <c r="I8" s="213"/>
      <c r="J8" s="213"/>
      <c r="K8" s="213"/>
      <c r="L8" s="213"/>
      <c r="M8" s="213"/>
      <c r="N8" s="213"/>
      <c r="O8" s="213"/>
      <c r="P8" s="213"/>
      <c r="Q8" s="213"/>
      <c r="R8" s="213"/>
      <c r="S8" s="213"/>
      <c r="T8" s="213"/>
      <c r="U8" s="126" t="s">
        <v>26</v>
      </c>
      <c r="V8" s="203" t="s">
        <v>114</v>
      </c>
      <c r="W8" s="204"/>
      <c r="X8" s="204"/>
      <c r="Y8" s="204"/>
      <c r="Z8" s="204"/>
      <c r="AA8" s="204"/>
      <c r="AB8" s="204"/>
      <c r="AC8" s="204"/>
      <c r="AD8" s="204"/>
      <c r="AE8" s="204"/>
      <c r="AF8" s="204"/>
      <c r="AG8" s="204"/>
      <c r="AH8" s="204"/>
      <c r="AI8" s="204"/>
      <c r="AJ8" s="204"/>
      <c r="AK8" s="205"/>
      <c r="AM8" s="200" t="s">
        <v>418</v>
      </c>
      <c r="AN8" s="201"/>
      <c r="AO8" s="202"/>
    </row>
    <row r="9" spans="2:41">
      <c r="B9" s="184" t="s">
        <v>521</v>
      </c>
      <c r="C9" s="184"/>
      <c r="D9" s="184"/>
      <c r="E9" s="184"/>
    </row>
    <row r="10" spans="2:41" s="11" customFormat="1" ht="84">
      <c r="B10" s="9" t="s">
        <v>22</v>
      </c>
      <c r="C10" s="9" t="s">
        <v>518</v>
      </c>
      <c r="D10" s="9" t="s">
        <v>426</v>
      </c>
      <c r="E10" s="9" t="s">
        <v>112</v>
      </c>
      <c r="F10" s="5" t="s">
        <v>432</v>
      </c>
      <c r="G10" s="5" t="s">
        <v>425</v>
      </c>
      <c r="H10" s="5" t="s">
        <v>126</v>
      </c>
      <c r="I10" s="9" t="s">
        <v>20</v>
      </c>
      <c r="J10" s="9" t="s">
        <v>423</v>
      </c>
      <c r="K10" s="9" t="s">
        <v>0</v>
      </c>
      <c r="L10" s="9" t="s">
        <v>100</v>
      </c>
      <c r="M10" s="9" t="s">
        <v>102</v>
      </c>
      <c r="N10" s="9" t="s">
        <v>1</v>
      </c>
      <c r="O10" s="9" t="s">
        <v>2</v>
      </c>
      <c r="P10" s="9" t="s">
        <v>3</v>
      </c>
      <c r="Q10" s="5" t="s">
        <v>130</v>
      </c>
      <c r="R10" s="10" t="s">
        <v>28</v>
      </c>
      <c r="S10" s="10" t="s">
        <v>32</v>
      </c>
      <c r="T10" s="10" t="s">
        <v>33</v>
      </c>
      <c r="U10" s="25" t="s">
        <v>113</v>
      </c>
      <c r="V10" s="5" t="s">
        <v>127</v>
      </c>
      <c r="W10" s="10" t="s">
        <v>427</v>
      </c>
      <c r="X10" s="10" t="s">
        <v>34</v>
      </c>
      <c r="Y10" s="10" t="s">
        <v>101</v>
      </c>
      <c r="Z10" s="10" t="s">
        <v>417</v>
      </c>
      <c r="AA10" s="10" t="s">
        <v>35</v>
      </c>
      <c r="AB10" s="10" t="s">
        <v>37</v>
      </c>
      <c r="AC10" s="10" t="s">
        <v>115</v>
      </c>
      <c r="AD10" s="25" t="s">
        <v>36</v>
      </c>
      <c r="AE10" s="25" t="s">
        <v>107</v>
      </c>
      <c r="AF10" s="25" t="s">
        <v>29</v>
      </c>
      <c r="AH10" s="12" t="s">
        <v>102</v>
      </c>
      <c r="AI10" s="12" t="s">
        <v>30</v>
      </c>
      <c r="AJ10" s="12" t="s">
        <v>31</v>
      </c>
    </row>
    <row r="11" spans="2:41" ht="152" customHeight="1">
      <c r="B11" s="15" t="s">
        <v>91</v>
      </c>
      <c r="C11" s="50" t="s">
        <v>520</v>
      </c>
      <c r="D11" s="50">
        <v>1.1000000000000001</v>
      </c>
      <c r="E11" s="14" t="s">
        <v>38</v>
      </c>
      <c r="F11" s="15" t="s">
        <v>543</v>
      </c>
      <c r="G11" s="15" t="s">
        <v>575</v>
      </c>
      <c r="H11" s="16">
        <v>5</v>
      </c>
      <c r="I11" s="24">
        <f>IFERROR(VLOOKUP(tblRiskRegister32[[#This Row],[Asset Class]],tblVCDBIndex[],4,FALSE),"")</f>
        <v>1</v>
      </c>
      <c r="J11" s="24">
        <f>IFERROR(VLOOKUP(10*tblRiskRegister32[[#This Row],[Safeguard Maturity Score]]+tblRiskRegister32[[#This Row],[VCDB Index]],tblHITIndexWeightTable[],4,FALSE),"")</f>
        <v>1</v>
      </c>
      <c r="K11" s="24">
        <f>VLOOKUP(tblRiskRegister32[[#This Row],[Asset Class]],tblInherentImpacts30[],2,FALSE)</f>
        <v>3</v>
      </c>
      <c r="L11" s="24">
        <f>VLOOKUP(tblRiskRegister32[[#This Row],[Asset Class]],tblInherentImpacts30[],3,FALSE)</f>
        <v>3</v>
      </c>
      <c r="M11" s="24">
        <f>VLOOKUP(tblRiskRegister32[[#This Row],[Asset Class]],tblInherentImpacts30[],4,FALSE)</f>
        <v>1</v>
      </c>
      <c r="N11" s="24">
        <f>VLOOKUP(tblRiskRegister32[[#This Row],[Asset Class]],tblInherentImpacts30[],5,FALSE)</f>
        <v>3</v>
      </c>
      <c r="O11" s="24">
        <f>IFERROR(MAX(tblRiskRegister32[[#This Row],[Impact to Mission]:[Impact to Obligations]])*tblRiskRegister32[[#This Row],[Expectancy Score]],"")</f>
        <v>3</v>
      </c>
      <c r="P11" s="24">
        <f>tblRiskRegister32[[#This Row],[Risk Score]]</f>
        <v>3</v>
      </c>
      <c r="Q11" s="50" t="s">
        <v>449</v>
      </c>
      <c r="R11" s="50">
        <v>1.1000000000000001</v>
      </c>
      <c r="S11" s="15" t="s">
        <v>38</v>
      </c>
      <c r="T11" s="15" t="s">
        <v>284</v>
      </c>
      <c r="U11" s="15"/>
      <c r="V11" s="16"/>
      <c r="W11" s="23" t="str">
        <f>IFERROR(VLOOKUP(10*tblRiskRegister32[[#This Row],[Risk Treatment Safeguard Maturity Score]]+tblRiskRegister32[[#This Row],[VCDB Index]],tblHITIndexWeightTable[],4,FALSE),"")</f>
        <v/>
      </c>
      <c r="X11" s="23">
        <f>VLOOKUP(tblRiskRegister32[[#This Row],[Asset Class]],tblInherentImpacts30[],2,FALSE)</f>
        <v>3</v>
      </c>
      <c r="Y11" s="23">
        <f>VLOOKUP(tblRiskRegister32[[#This Row],[Asset Class]],tblInherentImpacts30[],3,FALSE)</f>
        <v>3</v>
      </c>
      <c r="Z11" s="23">
        <f>VLOOKUP(tblRiskRegister32[[#This Row],[Asset Class]],tblInherentImpacts30[],3,FALSE)</f>
        <v>3</v>
      </c>
      <c r="AA11" s="23">
        <f>VLOOKUP(tblRiskRegister32[[#This Row],[Asset Class]],tblInherentImpacts30[],4,FALSE)</f>
        <v>1</v>
      </c>
      <c r="AB11" s="23" t="str">
        <f>IFERROR(MAX(tblRiskRegister32[[#This Row],[Risk Treatment Safeguard Impact to Mission]:[Risk Treatment Safeguard Impact to Obligations]])*tblRiskRegister32[[#This Row],[Risk Treatment
Safeguard Expectancy Score]],"")</f>
        <v/>
      </c>
      <c r="AC11" s="23" t="str">
        <f>IF(tblRiskRegister32[[#This Row],[Risk Score]]&gt;AcceptableRisk,IF(tblRiskRegister32[[#This Row],[Risk Treatment Safeguard Risk Score]]&lt;AcceptableRisk, IF(tblRiskRegister32[[#This Row],[Risk Treatment Safeguard Risk Score]]&lt;=tblRiskRegister32[[#This Row],[Risk Score]],"Yes","No"),"No"),"Yes")</f>
        <v>Yes</v>
      </c>
      <c r="AD11" s="17"/>
      <c r="AE11" s="17"/>
      <c r="AF11" s="18"/>
      <c r="AH11" s="19">
        <f>SUMIF(tblRiskRegister32[[#All],[Implementation Year]],"="&amp;tblCostImpacts33[[#This Row],[Year]],tblRiskRegister32[[#All],[Risk Treatment Safeguard Cost]])</f>
        <v>0</v>
      </c>
      <c r="AI11" s="6">
        <v>2021</v>
      </c>
      <c r="AJ11" s="6" t="str">
        <f>IF(tblCostImpacts33[[#This Row],[Impact to Financial Objectives]]&lt;='2. Enterprise Parameters'!$F$13,"Yes","No")</f>
        <v>Yes</v>
      </c>
    </row>
    <row r="12" spans="2:41" ht="42" hidden="1">
      <c r="B12" s="15" t="s">
        <v>91</v>
      </c>
      <c r="C12" s="50"/>
      <c r="D12" s="50">
        <v>1.2</v>
      </c>
      <c r="E12" s="14" t="s">
        <v>13</v>
      </c>
      <c r="F12" s="15"/>
      <c r="G12" s="15"/>
      <c r="H12" s="16"/>
      <c r="I12" s="24">
        <f>IFERROR(VLOOKUP(tblRiskRegister32[[#This Row],[Asset Class]],tblVCDBIndex[],4,FALSE),"")</f>
        <v>1</v>
      </c>
      <c r="J12" s="24" t="str">
        <f>IFERROR(VLOOKUP(10*tblRiskRegister32[[#This Row],[Safeguard Maturity Score]]+tblRiskRegister32[[#This Row],[VCDB Index]],tblHITIndexWeightTable[],4,FALSE),"")</f>
        <v/>
      </c>
      <c r="K12" s="24">
        <f>VLOOKUP(tblRiskRegister32[[#This Row],[Asset Class]],tblInherentImpacts30[],2,FALSE)</f>
        <v>3</v>
      </c>
      <c r="L12" s="24">
        <f>VLOOKUP(tblRiskRegister32[[#This Row],[Asset Class]],tblInherentImpacts30[],3,FALSE)</f>
        <v>3</v>
      </c>
      <c r="M12" s="24">
        <f>VLOOKUP(tblRiskRegister32[[#This Row],[Asset Class]],tblInherentImpacts30[],4,FALSE)</f>
        <v>1</v>
      </c>
      <c r="N12" s="24">
        <f>VLOOKUP(tblRiskRegister32[[#This Row],[Asset Class]],tblInherentImpacts30[],5,FALSE)</f>
        <v>3</v>
      </c>
      <c r="O12" s="24" t="str">
        <f>IFERROR(MAX(tblRiskRegister32[[#This Row],[Impact to Mission]:[Impact to Obligations]])*tblRiskRegister32[[#This Row],[Expectancy Score]],"")</f>
        <v/>
      </c>
      <c r="P12" s="24" t="str">
        <f>tblRiskRegister32[[#This Row],[Risk Score]]</f>
        <v/>
      </c>
      <c r="Q12" s="50"/>
      <c r="R12" s="50">
        <v>1.2</v>
      </c>
      <c r="S12" s="15" t="s">
        <v>13</v>
      </c>
      <c r="T12" s="15" t="s">
        <v>285</v>
      </c>
      <c r="U12" s="26"/>
      <c r="V12" s="16"/>
      <c r="W12" s="23" t="str">
        <f>IFERROR(VLOOKUP(10*tblRiskRegister32[[#This Row],[Risk Treatment Safeguard Maturity Score]]+tblRiskRegister32[[#This Row],[VCDB Index]],tblHITIndexWeightTable[],4,FALSE),"")</f>
        <v/>
      </c>
      <c r="X12" s="23">
        <f>VLOOKUP(tblRiskRegister32[[#This Row],[Asset Class]],tblInherentImpacts30[],2,FALSE)</f>
        <v>3</v>
      </c>
      <c r="Y12" s="23">
        <f>VLOOKUP(tblRiskRegister32[[#This Row],[Asset Class]],tblInherentImpacts30[],3,FALSE)</f>
        <v>3</v>
      </c>
      <c r="Z12" s="23">
        <f>VLOOKUP(tblRiskRegister32[[#This Row],[Asset Class]],tblInherentImpacts30[],3,FALSE)</f>
        <v>3</v>
      </c>
      <c r="AA12" s="23">
        <f>VLOOKUP(tblRiskRegister32[[#This Row],[Asset Class]],tblInherentImpacts30[],4,FALSE)</f>
        <v>1</v>
      </c>
      <c r="AB12" s="23" t="str">
        <f>IFERROR(MAX(tblRiskRegister32[[#This Row],[Risk Treatment Safeguard Impact to Mission]:[Risk Treatment Safeguard Impact to Obligations]])*tblRiskRegister32[[#This Row],[Risk Treatment
Safeguard Expectancy Score]],"")</f>
        <v/>
      </c>
      <c r="AC12" s="23" t="str">
        <f>IF(tblRiskRegister32[[#This Row],[Risk Score]]&gt;AcceptableRisk,IF(tblRiskRegister32[[#This Row],[Risk Treatment Safeguard Risk Score]]&lt;AcceptableRisk, IF(tblRiskRegister32[[#This Row],[Risk Treatment Safeguard Risk Score]]&lt;=tblRiskRegister32[[#This Row],[Risk Score]],"Yes","No"),"No"),"Yes")</f>
        <v>No</v>
      </c>
      <c r="AD12" s="17"/>
      <c r="AE12" s="17"/>
      <c r="AF12" s="18"/>
      <c r="AH12" s="19">
        <f>SUMIF(tblRiskRegister32[[#All],[Implementation Year]],"="&amp;tblCostImpacts33[[#This Row],[Year]],tblRiskRegister32[[#All],[Risk Treatment Safeguard Cost]])</f>
        <v>0</v>
      </c>
      <c r="AI12" s="6">
        <v>2022</v>
      </c>
      <c r="AJ12" s="6" t="str">
        <f>IF(tblCostImpacts33[[#This Row],[Impact to Financial Objectives]]&lt;='2. Enterprise Parameters'!$F$13,"Yes","No")</f>
        <v>Yes</v>
      </c>
    </row>
    <row r="13" spans="2:41" ht="28" hidden="1">
      <c r="B13" s="15" t="s">
        <v>91</v>
      </c>
      <c r="C13" s="50"/>
      <c r="D13" s="50">
        <v>1.3</v>
      </c>
      <c r="E13" s="14" t="s">
        <v>183</v>
      </c>
      <c r="F13" s="15"/>
      <c r="G13" s="15"/>
      <c r="H13" s="16"/>
      <c r="I13" s="24">
        <f>IFERROR(VLOOKUP(tblRiskRegister32[[#This Row],[Asset Class]],tblVCDBIndex[],4,FALSE),"")</f>
        <v>1</v>
      </c>
      <c r="J13" s="24" t="str">
        <f>IFERROR(VLOOKUP(10*tblRiskRegister32[[#This Row],[Safeguard Maturity Score]]+tblRiskRegister32[[#This Row],[VCDB Index]],tblHITIndexWeightTable[],4,FALSE),"")</f>
        <v/>
      </c>
      <c r="K13" s="24">
        <f>VLOOKUP(tblRiskRegister32[[#This Row],[Asset Class]],tblInherentImpacts30[],2,FALSE)</f>
        <v>3</v>
      </c>
      <c r="L13" s="24">
        <f>VLOOKUP(tblRiskRegister32[[#This Row],[Asset Class]],tblInherentImpacts30[],3,FALSE)</f>
        <v>3</v>
      </c>
      <c r="M13" s="24">
        <f>VLOOKUP(tblRiskRegister32[[#This Row],[Asset Class]],tblInherentImpacts30[],4,FALSE)</f>
        <v>1</v>
      </c>
      <c r="N13" s="24">
        <f>VLOOKUP(tblRiskRegister32[[#This Row],[Asset Class]],tblInherentImpacts30[],5,FALSE)</f>
        <v>3</v>
      </c>
      <c r="O13" s="24" t="str">
        <f>IFERROR(MAX(tblRiskRegister32[[#This Row],[Impact to Mission]:[Impact to Obligations]])*tblRiskRegister32[[#This Row],[Expectancy Score]],"")</f>
        <v/>
      </c>
      <c r="P13" s="24" t="str">
        <f>tblRiskRegister32[[#This Row],[Risk Score]]</f>
        <v/>
      </c>
      <c r="Q13" s="50"/>
      <c r="R13" s="50">
        <v>1.3</v>
      </c>
      <c r="S13" s="15" t="s">
        <v>183</v>
      </c>
      <c r="T13" s="15" t="s">
        <v>286</v>
      </c>
      <c r="U13" s="26"/>
      <c r="V13" s="16"/>
      <c r="W13" s="23" t="str">
        <f>IFERROR(VLOOKUP(10*tblRiskRegister32[[#This Row],[Risk Treatment Safeguard Maturity Score]]+tblRiskRegister32[[#This Row],[VCDB Index]],tblHITIndexWeightTable[],4,FALSE),"")</f>
        <v/>
      </c>
      <c r="X13" s="23">
        <f>VLOOKUP(tblRiskRegister32[[#This Row],[Asset Class]],tblInherentImpacts30[],2,FALSE)</f>
        <v>3</v>
      </c>
      <c r="Y13" s="23">
        <f>VLOOKUP(tblRiskRegister32[[#This Row],[Asset Class]],tblInherentImpacts30[],3,FALSE)</f>
        <v>3</v>
      </c>
      <c r="Z13" s="23">
        <f>VLOOKUP(tblRiskRegister32[[#This Row],[Asset Class]],tblInherentImpacts30[],3,FALSE)</f>
        <v>3</v>
      </c>
      <c r="AA13" s="23">
        <f>VLOOKUP(tblRiskRegister32[[#This Row],[Asset Class]],tblInherentImpacts30[],4,FALSE)</f>
        <v>1</v>
      </c>
      <c r="AB13" s="23" t="str">
        <f>IFERROR(MAX(tblRiskRegister32[[#This Row],[Risk Treatment Safeguard Impact to Mission]:[Risk Treatment Safeguard Impact to Obligations]])*tblRiskRegister32[[#This Row],[Risk Treatment
Safeguard Expectancy Score]],"")</f>
        <v/>
      </c>
      <c r="AC13" s="23" t="str">
        <f>IF(tblRiskRegister32[[#This Row],[Risk Score]]&gt;AcceptableRisk,IF(tblRiskRegister32[[#This Row],[Risk Treatment Safeguard Risk Score]]&lt;AcceptableRisk, IF(tblRiskRegister32[[#This Row],[Risk Treatment Safeguard Risk Score]]&lt;=tblRiskRegister32[[#This Row],[Risk Score]],"Yes","No"),"No"),"Yes")</f>
        <v>No</v>
      </c>
      <c r="AD13" s="17"/>
      <c r="AE13" s="17"/>
      <c r="AF13" s="18"/>
      <c r="AH13" s="19">
        <f>SUMIF(tblRiskRegister32[[#All],[Implementation Year]],"="&amp;tblCostImpacts33[[#This Row],[Year]],tblRiskRegister32[[#All],[Risk Treatment Safeguard Cost]])</f>
        <v>0</v>
      </c>
      <c r="AI13" s="6">
        <v>2023</v>
      </c>
      <c r="AJ13" s="6" t="str">
        <f>IF(tblCostImpacts33[[#This Row],[Impact to Financial Objectives]]&lt;='2. Enterprise Parameters'!$F$13,"Yes","No")</f>
        <v>Yes</v>
      </c>
    </row>
    <row r="14" spans="2:41" ht="42" hidden="1">
      <c r="B14" s="15" t="s">
        <v>91</v>
      </c>
      <c r="C14" s="50"/>
      <c r="D14" s="50">
        <v>1.4</v>
      </c>
      <c r="E14" s="14" t="s">
        <v>184</v>
      </c>
      <c r="F14" s="15"/>
      <c r="G14" s="15"/>
      <c r="H14" s="16"/>
      <c r="I14" s="24">
        <f>IFERROR(VLOOKUP(tblRiskRegister32[[#This Row],[Asset Class]],tblVCDBIndex[],4,FALSE),"")</f>
        <v>1</v>
      </c>
      <c r="J14" s="24" t="str">
        <f>IFERROR(VLOOKUP(10*tblRiskRegister32[[#This Row],[Safeguard Maturity Score]]+tblRiskRegister32[[#This Row],[VCDB Index]],tblHITIndexWeightTable[],4,FALSE),"")</f>
        <v/>
      </c>
      <c r="K14" s="24">
        <f>VLOOKUP(tblRiskRegister32[[#This Row],[Asset Class]],tblInherentImpacts30[],2,FALSE)</f>
        <v>3</v>
      </c>
      <c r="L14" s="24">
        <f>VLOOKUP(tblRiskRegister32[[#This Row],[Asset Class]],tblInherentImpacts30[],3,FALSE)</f>
        <v>3</v>
      </c>
      <c r="M14" s="24">
        <f>VLOOKUP(tblRiskRegister32[[#This Row],[Asset Class]],tblInherentImpacts30[],4,FALSE)</f>
        <v>1</v>
      </c>
      <c r="N14" s="24">
        <f>VLOOKUP(tblRiskRegister32[[#This Row],[Asset Class]],tblInherentImpacts30[],5,FALSE)</f>
        <v>3</v>
      </c>
      <c r="O14" s="24" t="str">
        <f>IFERROR(MAX(tblRiskRegister32[[#This Row],[Impact to Mission]:[Impact to Obligations]])*tblRiskRegister32[[#This Row],[Expectancy Score]],"")</f>
        <v/>
      </c>
      <c r="P14" s="24" t="str">
        <f>tblRiskRegister32[[#This Row],[Risk Score]]</f>
        <v/>
      </c>
      <c r="Q14" s="50"/>
      <c r="R14" s="50">
        <v>1.4</v>
      </c>
      <c r="S14" s="15" t="s">
        <v>184</v>
      </c>
      <c r="T14" s="15" t="s">
        <v>287</v>
      </c>
      <c r="U14" s="26"/>
      <c r="V14" s="16"/>
      <c r="W14" s="23" t="str">
        <f>IFERROR(VLOOKUP(10*tblRiskRegister32[[#This Row],[Risk Treatment Safeguard Maturity Score]]+tblRiskRegister32[[#This Row],[VCDB Index]],tblHITIndexWeightTable[],4,FALSE),"")</f>
        <v/>
      </c>
      <c r="X14" s="23">
        <f>VLOOKUP(tblRiskRegister32[[#This Row],[Asset Class]],tblInherentImpacts30[],2,FALSE)</f>
        <v>3</v>
      </c>
      <c r="Y14" s="23">
        <f>VLOOKUP(tblRiskRegister32[[#This Row],[Asset Class]],tblInherentImpacts30[],3,FALSE)</f>
        <v>3</v>
      </c>
      <c r="Z14" s="23">
        <f>VLOOKUP(tblRiskRegister32[[#This Row],[Asset Class]],tblInherentImpacts30[],3,FALSE)</f>
        <v>3</v>
      </c>
      <c r="AA14" s="23">
        <f>VLOOKUP(tblRiskRegister32[[#This Row],[Asset Class]],tblInherentImpacts30[],4,FALSE)</f>
        <v>1</v>
      </c>
      <c r="AB14" s="23" t="str">
        <f>IFERROR(MAX(tblRiskRegister32[[#This Row],[Risk Treatment Safeguard Impact to Mission]:[Risk Treatment Safeguard Impact to Obligations]])*tblRiskRegister32[[#This Row],[Risk Treatment
Safeguard Expectancy Score]],"")</f>
        <v/>
      </c>
      <c r="AC14" s="23" t="str">
        <f>IF(tblRiskRegister32[[#This Row],[Risk Score]]&gt;AcceptableRisk,IF(tblRiskRegister32[[#This Row],[Risk Treatment Safeguard Risk Score]]&lt;AcceptableRisk, IF(tblRiskRegister32[[#This Row],[Risk Treatment Safeguard Risk Score]]&lt;=tblRiskRegister32[[#This Row],[Risk Score]],"Yes","No"),"No"),"Yes")</f>
        <v>No</v>
      </c>
      <c r="AD14" s="17"/>
      <c r="AE14" s="17"/>
      <c r="AF14" s="18"/>
      <c r="AH14" s="19">
        <f>SUMIF(tblRiskRegister32[[#All],[Implementation Year]],"="&amp;tblCostImpacts33[[#This Row],[Year]],tblRiskRegister32[[#All],[Risk Treatment Safeguard Cost]])</f>
        <v>0</v>
      </c>
      <c r="AI14" s="6">
        <v>2024</v>
      </c>
      <c r="AJ14" s="6" t="str">
        <f>IF(tblCostImpacts33[[#This Row],[Impact to Financial Objectives]]&lt;='2. Enterprise Parameters'!$F$13,"Yes","No")</f>
        <v>Yes</v>
      </c>
    </row>
    <row r="15" spans="2:41" ht="70" hidden="1">
      <c r="B15" s="15" t="s">
        <v>92</v>
      </c>
      <c r="C15" s="50"/>
      <c r="D15" s="50">
        <v>2.1</v>
      </c>
      <c r="E15" s="14" t="s">
        <v>39</v>
      </c>
      <c r="F15" s="15"/>
      <c r="G15" s="15"/>
      <c r="H15" s="16"/>
      <c r="I15" s="24">
        <f>IFERROR(VLOOKUP(tblRiskRegister32[[#This Row],[Asset Class]],tblVCDBIndex[],4,FALSE),"")</f>
        <v>2</v>
      </c>
      <c r="J15" s="24" t="str">
        <f>IFERROR(VLOOKUP(10*tblRiskRegister32[[#This Row],[Safeguard Maturity Score]]+tblRiskRegister32[[#This Row],[VCDB Index]],tblHITIndexWeightTable[],4,FALSE),"")</f>
        <v/>
      </c>
      <c r="K15" s="24">
        <f>VLOOKUP(tblRiskRegister32[[#This Row],[Asset Class]],tblInherentImpacts30[],2,FALSE)</f>
        <v>3</v>
      </c>
      <c r="L15" s="24">
        <f>VLOOKUP(tblRiskRegister32[[#This Row],[Asset Class]],tblInherentImpacts30[],3,FALSE)</f>
        <v>4</v>
      </c>
      <c r="M15" s="24">
        <f>VLOOKUP(tblRiskRegister32[[#This Row],[Asset Class]],tblInherentImpacts30[],4,FALSE)</f>
        <v>1</v>
      </c>
      <c r="N15" s="24">
        <f>VLOOKUP(tblRiskRegister32[[#This Row],[Asset Class]],tblInherentImpacts30[],5,FALSE)</f>
        <v>4</v>
      </c>
      <c r="O15" s="24" t="str">
        <f>IFERROR(MAX(tblRiskRegister32[[#This Row],[Impact to Mission]:[Impact to Obligations]])*tblRiskRegister32[[#This Row],[Expectancy Score]],"")</f>
        <v/>
      </c>
      <c r="P15" s="24" t="str">
        <f>tblRiskRegister32[[#This Row],[Risk Score]]</f>
        <v/>
      </c>
      <c r="Q15" s="50"/>
      <c r="R15" s="50">
        <v>2.1</v>
      </c>
      <c r="S15" s="15" t="s">
        <v>39</v>
      </c>
      <c r="T15" s="15" t="s">
        <v>288</v>
      </c>
      <c r="U15" s="15"/>
      <c r="V15" s="16"/>
      <c r="W15" s="23" t="str">
        <f>IFERROR(VLOOKUP(10*tblRiskRegister32[[#This Row],[Risk Treatment Safeguard Maturity Score]]+tblRiskRegister32[[#This Row],[VCDB Index]],tblHITIndexWeightTable[],4,FALSE),"")</f>
        <v/>
      </c>
      <c r="X15" s="23">
        <f>VLOOKUP(tblRiskRegister32[[#This Row],[Asset Class]],tblInherentImpacts30[],2,FALSE)</f>
        <v>3</v>
      </c>
      <c r="Y15" s="23">
        <f>VLOOKUP(tblRiskRegister32[[#This Row],[Asset Class]],tblInherentImpacts30[],3,FALSE)</f>
        <v>4</v>
      </c>
      <c r="Z15" s="23">
        <f>VLOOKUP(tblRiskRegister32[[#This Row],[Asset Class]],tblInherentImpacts30[],3,FALSE)</f>
        <v>4</v>
      </c>
      <c r="AA15" s="23">
        <f>VLOOKUP(tblRiskRegister32[[#This Row],[Asset Class]],tblInherentImpacts30[],4,FALSE)</f>
        <v>1</v>
      </c>
      <c r="AB15" s="23" t="str">
        <f>IFERROR(MAX(tblRiskRegister32[[#This Row],[Risk Treatment Safeguard Impact to Mission]:[Risk Treatment Safeguard Impact to Obligations]])*tblRiskRegister32[[#This Row],[Risk Treatment
Safeguard Expectancy Score]],"")</f>
        <v/>
      </c>
      <c r="AC15" s="23" t="str">
        <f>IF(tblRiskRegister32[[#This Row],[Risk Score]]&gt;AcceptableRisk,IF(tblRiskRegister32[[#This Row],[Risk Treatment Safeguard Risk Score]]&lt;AcceptableRisk, IF(tblRiskRegister32[[#This Row],[Risk Treatment Safeguard Risk Score]]&lt;=tblRiskRegister32[[#This Row],[Risk Score]],"Yes","No"),"No"),"Yes")</f>
        <v>No</v>
      </c>
      <c r="AD15" s="17"/>
      <c r="AE15" s="17"/>
      <c r="AF15" s="18"/>
      <c r="AH15" s="19">
        <f>SUMIF(tblRiskRegister32[[#All],[Implementation Year]],"="&amp;tblCostImpacts33[[#This Row],[Year]],tblRiskRegister32[[#All],[Risk Treatment Safeguard Cost]])</f>
        <v>0</v>
      </c>
      <c r="AI15" s="6">
        <v>2025</v>
      </c>
      <c r="AJ15" s="6" t="str">
        <f>IF(tblCostImpacts33[[#This Row],[Impact to Financial Objectives]]&lt;='2. Enterprise Parameters'!$F$13,"Yes","No")</f>
        <v>Yes</v>
      </c>
    </row>
    <row r="16" spans="2:41" ht="84" hidden="1">
      <c r="B16" s="15" t="s">
        <v>92</v>
      </c>
      <c r="C16" s="50"/>
      <c r="D16" s="50">
        <v>2.2000000000000002</v>
      </c>
      <c r="E16" s="14" t="s">
        <v>40</v>
      </c>
      <c r="F16" s="15"/>
      <c r="G16" s="15"/>
      <c r="H16" s="16"/>
      <c r="I16" s="24">
        <f>IFERROR(VLOOKUP(tblRiskRegister32[[#This Row],[Asset Class]],tblVCDBIndex[],4,FALSE),"")</f>
        <v>2</v>
      </c>
      <c r="J16" s="24" t="str">
        <f>IFERROR(VLOOKUP(10*tblRiskRegister32[[#This Row],[Safeguard Maturity Score]]+tblRiskRegister32[[#This Row],[VCDB Index]],tblHITIndexWeightTable[],4,FALSE),"")</f>
        <v/>
      </c>
      <c r="K16" s="24">
        <f>VLOOKUP(tblRiskRegister32[[#This Row],[Asset Class]],tblInherentImpacts30[],2,FALSE)</f>
        <v>3</v>
      </c>
      <c r="L16" s="24">
        <f>VLOOKUP(tblRiskRegister32[[#This Row],[Asset Class]],tblInherentImpacts30[],3,FALSE)</f>
        <v>4</v>
      </c>
      <c r="M16" s="24">
        <f>VLOOKUP(tblRiskRegister32[[#This Row],[Asset Class]],tblInherentImpacts30[],4,FALSE)</f>
        <v>1</v>
      </c>
      <c r="N16" s="24">
        <f>VLOOKUP(tblRiskRegister32[[#This Row],[Asset Class]],tblInherentImpacts30[],5,FALSE)</f>
        <v>4</v>
      </c>
      <c r="O16" s="24" t="str">
        <f>IFERROR(MAX(tblRiskRegister32[[#This Row],[Impact to Mission]:[Impact to Obligations]])*tblRiskRegister32[[#This Row],[Expectancy Score]],"")</f>
        <v/>
      </c>
      <c r="P16" s="24" t="str">
        <f>tblRiskRegister32[[#This Row],[Risk Score]]</f>
        <v/>
      </c>
      <c r="Q16" s="50"/>
      <c r="R16" s="50">
        <v>2.2000000000000002</v>
      </c>
      <c r="S16" s="15" t="s">
        <v>40</v>
      </c>
      <c r="T16" s="15" t="s">
        <v>289</v>
      </c>
      <c r="U16" s="15"/>
      <c r="V16" s="16"/>
      <c r="W16" s="23" t="str">
        <f>IFERROR(VLOOKUP(10*tblRiskRegister32[[#This Row],[Risk Treatment Safeguard Maturity Score]]+tblRiskRegister32[[#This Row],[VCDB Index]],tblHITIndexWeightTable[],4,FALSE),"")</f>
        <v/>
      </c>
      <c r="X16" s="23">
        <f>VLOOKUP(tblRiskRegister32[[#This Row],[Asset Class]],tblInherentImpacts30[],2,FALSE)</f>
        <v>3</v>
      </c>
      <c r="Y16" s="23">
        <f>VLOOKUP(tblRiskRegister32[[#This Row],[Asset Class]],tblInherentImpacts30[],3,FALSE)</f>
        <v>4</v>
      </c>
      <c r="Z16" s="23">
        <f>VLOOKUP(tblRiskRegister32[[#This Row],[Asset Class]],tblInherentImpacts30[],3,FALSE)</f>
        <v>4</v>
      </c>
      <c r="AA16" s="23">
        <f>VLOOKUP(tblRiskRegister32[[#This Row],[Asset Class]],tblInherentImpacts30[],4,FALSE)</f>
        <v>1</v>
      </c>
      <c r="AB16" s="23" t="str">
        <f>IFERROR(MAX(tblRiskRegister32[[#This Row],[Risk Treatment Safeguard Impact to Mission]:[Risk Treatment Safeguard Impact to Obligations]])*tblRiskRegister32[[#This Row],[Risk Treatment
Safeguard Expectancy Score]],"")</f>
        <v/>
      </c>
      <c r="AC16" s="23" t="str">
        <f>IF(tblRiskRegister32[[#This Row],[Risk Score]]&gt;AcceptableRisk,IF(tblRiskRegister32[[#This Row],[Risk Treatment Safeguard Risk Score]]&lt;AcceptableRisk, IF(tblRiskRegister32[[#This Row],[Risk Treatment Safeguard Risk Score]]&lt;=tblRiskRegister32[[#This Row],[Risk Score]],"Yes","No"),"No"),"Yes")</f>
        <v>No</v>
      </c>
      <c r="AD16" s="17"/>
      <c r="AE16" s="17"/>
      <c r="AF16" s="18"/>
      <c r="AH16" s="19">
        <f>SUMIF(tblRiskRegister32[[#All],[Implementation Year]],"="&amp;tblCostImpacts33[[#This Row],[Year]],tblRiskRegister32[[#All],[Risk Treatment Safeguard Cost]])</f>
        <v>0</v>
      </c>
      <c r="AI16" s="6">
        <v>2026</v>
      </c>
      <c r="AJ16" s="6" t="str">
        <f>IF(tblCostImpacts33[[#This Row],[Impact to Financial Objectives]]&lt;='2. Enterprise Parameters'!$F$13,"Yes","No")</f>
        <v>Yes</v>
      </c>
    </row>
    <row r="17" spans="2:36" ht="28" hidden="1">
      <c r="B17" s="15" t="s">
        <v>92</v>
      </c>
      <c r="C17" s="50"/>
      <c r="D17" s="50">
        <v>2.2999999999999998</v>
      </c>
      <c r="E17" s="14" t="s">
        <v>41</v>
      </c>
      <c r="F17" s="15"/>
      <c r="G17" s="15"/>
      <c r="H17" s="16"/>
      <c r="I17" s="24">
        <f>IFERROR(VLOOKUP(tblRiskRegister32[[#This Row],[Asset Class]],tblVCDBIndex[],4,FALSE),"")</f>
        <v>2</v>
      </c>
      <c r="J17" s="24" t="str">
        <f>IFERROR(VLOOKUP(10*tblRiskRegister32[[#This Row],[Safeguard Maturity Score]]+tblRiskRegister32[[#This Row],[VCDB Index]],tblHITIndexWeightTable[],4,FALSE),"")</f>
        <v/>
      </c>
      <c r="K17" s="24">
        <f>VLOOKUP(tblRiskRegister32[[#This Row],[Asset Class]],tblInherentImpacts30[],2,FALSE)</f>
        <v>3</v>
      </c>
      <c r="L17" s="24">
        <f>VLOOKUP(tblRiskRegister32[[#This Row],[Asset Class]],tblInherentImpacts30[],3,FALSE)</f>
        <v>4</v>
      </c>
      <c r="M17" s="24">
        <f>VLOOKUP(tblRiskRegister32[[#This Row],[Asset Class]],tblInherentImpacts30[],4,FALSE)</f>
        <v>1</v>
      </c>
      <c r="N17" s="24">
        <f>VLOOKUP(tblRiskRegister32[[#This Row],[Asset Class]],tblInherentImpacts30[],5,FALSE)</f>
        <v>4</v>
      </c>
      <c r="O17" s="24" t="str">
        <f>IFERROR(MAX(tblRiskRegister32[[#This Row],[Impact to Mission]:[Impact to Obligations]])*tblRiskRegister32[[#This Row],[Expectancy Score]],"")</f>
        <v/>
      </c>
      <c r="P17" s="24" t="str">
        <f>tblRiskRegister32[[#This Row],[Risk Score]]</f>
        <v/>
      </c>
      <c r="Q17" s="50"/>
      <c r="R17" s="50">
        <v>2.2999999999999998</v>
      </c>
      <c r="S17" s="15" t="s">
        <v>41</v>
      </c>
      <c r="T17" s="15" t="s">
        <v>290</v>
      </c>
      <c r="U17" s="15"/>
      <c r="V17" s="16"/>
      <c r="W17" s="23" t="str">
        <f>IFERROR(VLOOKUP(10*tblRiskRegister32[[#This Row],[Risk Treatment Safeguard Maturity Score]]+tblRiskRegister32[[#This Row],[VCDB Index]],tblHITIndexWeightTable[],4,FALSE),"")</f>
        <v/>
      </c>
      <c r="X17" s="23">
        <f>VLOOKUP(tblRiskRegister32[[#This Row],[Asset Class]],tblInherentImpacts30[],2,FALSE)</f>
        <v>3</v>
      </c>
      <c r="Y17" s="23">
        <f>VLOOKUP(tblRiskRegister32[[#This Row],[Asset Class]],tblInherentImpacts30[],3,FALSE)</f>
        <v>4</v>
      </c>
      <c r="Z17" s="23">
        <f>VLOOKUP(tblRiskRegister32[[#This Row],[Asset Class]],tblInherentImpacts30[],3,FALSE)</f>
        <v>4</v>
      </c>
      <c r="AA17" s="23">
        <f>VLOOKUP(tblRiskRegister32[[#This Row],[Asset Class]],tblInherentImpacts30[],4,FALSE)</f>
        <v>1</v>
      </c>
      <c r="AB17" s="23" t="str">
        <f>IFERROR(MAX(tblRiskRegister32[[#This Row],[Risk Treatment Safeguard Impact to Mission]:[Risk Treatment Safeguard Impact to Obligations]])*tblRiskRegister32[[#This Row],[Risk Treatment
Safeguard Expectancy Score]],"")</f>
        <v/>
      </c>
      <c r="AC17" s="23" t="str">
        <f>IF(tblRiskRegister32[[#This Row],[Risk Score]]&gt;AcceptableRisk,IF(tblRiskRegister32[[#This Row],[Risk Treatment Safeguard Risk Score]]&lt;AcceptableRisk, IF(tblRiskRegister32[[#This Row],[Risk Treatment Safeguard Risk Score]]&lt;=tblRiskRegister32[[#This Row],[Risk Score]],"Yes","No"),"No"),"Yes")</f>
        <v>No</v>
      </c>
      <c r="AD17" s="17"/>
      <c r="AE17" s="17"/>
      <c r="AF17" s="18"/>
      <c r="AH17" s="19">
        <f>SUMIF(tblRiskRegister32[[#All],[Implementation Year]],"="&amp;tblCostImpacts33[[#This Row],[Year]],tblRiskRegister32[[#All],[Risk Treatment Safeguard Cost]])</f>
        <v>0</v>
      </c>
      <c r="AI17" s="6">
        <v>2027</v>
      </c>
      <c r="AJ17" s="6" t="str">
        <f>IF(tblCostImpacts33[[#This Row],[Impact to Financial Objectives]]&lt;='2. Enterprise Parameters'!$F$13,"Yes","No")</f>
        <v>Yes</v>
      </c>
    </row>
    <row r="18" spans="2:36" ht="28" hidden="1">
      <c r="B18" s="15" t="s">
        <v>92</v>
      </c>
      <c r="C18" s="50"/>
      <c r="D18" s="50">
        <v>2.4</v>
      </c>
      <c r="E18" s="14" t="s">
        <v>160</v>
      </c>
      <c r="F18" s="15"/>
      <c r="G18" s="15"/>
      <c r="H18" s="16"/>
      <c r="I18" s="24">
        <f>IFERROR(VLOOKUP(tblRiskRegister32[[#This Row],[Asset Class]],tblVCDBIndex[],4,FALSE),"")</f>
        <v>2</v>
      </c>
      <c r="J18" s="24" t="str">
        <f>IFERROR(VLOOKUP(10*tblRiskRegister32[[#This Row],[Safeguard Maturity Score]]+tblRiskRegister32[[#This Row],[VCDB Index]],tblHITIndexWeightTable[],4,FALSE),"")</f>
        <v/>
      </c>
      <c r="K18" s="24">
        <f>VLOOKUP(tblRiskRegister32[[#This Row],[Asset Class]],tblInherentImpacts30[],2,FALSE)</f>
        <v>3</v>
      </c>
      <c r="L18" s="24">
        <f>VLOOKUP(tblRiskRegister32[[#This Row],[Asset Class]],tblInherentImpacts30[],3,FALSE)</f>
        <v>4</v>
      </c>
      <c r="M18" s="24">
        <f>VLOOKUP(tblRiskRegister32[[#This Row],[Asset Class]],tblInherentImpacts30[],4,FALSE)</f>
        <v>1</v>
      </c>
      <c r="N18" s="24">
        <f>VLOOKUP(tblRiskRegister32[[#This Row],[Asset Class]],tblInherentImpacts30[],5,FALSE)</f>
        <v>4</v>
      </c>
      <c r="O18" s="24" t="str">
        <f>IFERROR(MAX(tblRiskRegister32[[#This Row],[Impact to Mission]:[Impact to Obligations]])*tblRiskRegister32[[#This Row],[Expectancy Score]],"")</f>
        <v/>
      </c>
      <c r="P18" s="24" t="str">
        <f>tblRiskRegister32[[#This Row],[Risk Score]]</f>
        <v/>
      </c>
      <c r="Q18" s="50"/>
      <c r="R18" s="50">
        <v>2.4</v>
      </c>
      <c r="S18" s="15" t="s">
        <v>160</v>
      </c>
      <c r="T18" s="15" t="s">
        <v>291</v>
      </c>
      <c r="U18" s="15"/>
      <c r="V18" s="16"/>
      <c r="W18" s="23" t="str">
        <f>IFERROR(VLOOKUP(10*tblRiskRegister32[[#This Row],[Risk Treatment Safeguard Maturity Score]]+tblRiskRegister32[[#This Row],[VCDB Index]],tblHITIndexWeightTable[],4,FALSE),"")</f>
        <v/>
      </c>
      <c r="X18" s="23">
        <f>VLOOKUP(tblRiskRegister32[[#This Row],[Asset Class]],tblInherentImpacts30[],2,FALSE)</f>
        <v>3</v>
      </c>
      <c r="Y18" s="23">
        <f>VLOOKUP(tblRiskRegister32[[#This Row],[Asset Class]],tblInherentImpacts30[],3,FALSE)</f>
        <v>4</v>
      </c>
      <c r="Z18" s="23">
        <f>VLOOKUP(tblRiskRegister32[[#This Row],[Asset Class]],tblInherentImpacts30[],3,FALSE)</f>
        <v>4</v>
      </c>
      <c r="AA18" s="23">
        <f>VLOOKUP(tblRiskRegister32[[#This Row],[Asset Class]],tblInherentImpacts30[],4,FALSE)</f>
        <v>1</v>
      </c>
      <c r="AB18" s="23" t="str">
        <f>IFERROR(MAX(tblRiskRegister32[[#This Row],[Risk Treatment Safeguard Impact to Mission]:[Risk Treatment Safeguard Impact to Obligations]])*tblRiskRegister32[[#This Row],[Risk Treatment
Safeguard Expectancy Score]],"")</f>
        <v/>
      </c>
      <c r="AC18" s="23" t="str">
        <f>IF(tblRiskRegister32[[#This Row],[Risk Score]]&gt;AcceptableRisk,IF(tblRiskRegister32[[#This Row],[Risk Treatment Safeguard Risk Score]]&lt;AcceptableRisk, IF(tblRiskRegister32[[#This Row],[Risk Treatment Safeguard Risk Score]]&lt;=tblRiskRegister32[[#This Row],[Risk Score]],"Yes","No"),"No"),"Yes")</f>
        <v>No</v>
      </c>
      <c r="AD18" s="17"/>
      <c r="AE18" s="17"/>
      <c r="AF18" s="18"/>
      <c r="AH18" s="19">
        <f>SUMIF(tblRiskRegister32[[#All],[Implementation Year]],"="&amp;tblCostImpacts33[[#This Row],[Year]],tblRiskRegister32[[#All],[Risk Treatment Safeguard Cost]])</f>
        <v>0</v>
      </c>
      <c r="AI18" s="6">
        <v>2028</v>
      </c>
      <c r="AJ18" s="6" t="str">
        <f>IF(tblCostImpacts33[[#This Row],[Impact to Financial Objectives]]&lt;='2. Enterprise Parameters'!$F$13,"Yes","No")</f>
        <v>Yes</v>
      </c>
    </row>
    <row r="19" spans="2:36" ht="28" hidden="1">
      <c r="B19" s="15" t="s">
        <v>92</v>
      </c>
      <c r="C19" s="50"/>
      <c r="D19" s="50">
        <v>2.5</v>
      </c>
      <c r="E19" s="14" t="s">
        <v>161</v>
      </c>
      <c r="F19" s="15"/>
      <c r="G19" s="15"/>
      <c r="H19" s="16"/>
      <c r="I19" s="24">
        <f>IFERROR(VLOOKUP(tblRiskRegister32[[#This Row],[Asset Class]],tblVCDBIndex[],4,FALSE),"")</f>
        <v>2</v>
      </c>
      <c r="J19" s="24" t="str">
        <f>IFERROR(VLOOKUP(10*tblRiskRegister32[[#This Row],[Safeguard Maturity Score]]+tblRiskRegister32[[#This Row],[VCDB Index]],tblHITIndexWeightTable[],4,FALSE),"")</f>
        <v/>
      </c>
      <c r="K19" s="24">
        <f>VLOOKUP(tblRiskRegister32[[#This Row],[Asset Class]],tblInherentImpacts30[],2,FALSE)</f>
        <v>3</v>
      </c>
      <c r="L19" s="24">
        <f>VLOOKUP(tblRiskRegister32[[#This Row],[Asset Class]],tblInherentImpacts30[],3,FALSE)</f>
        <v>4</v>
      </c>
      <c r="M19" s="24">
        <f>VLOOKUP(tblRiskRegister32[[#This Row],[Asset Class]],tblInherentImpacts30[],4,FALSE)</f>
        <v>1</v>
      </c>
      <c r="N19" s="24">
        <f>VLOOKUP(tblRiskRegister32[[#This Row],[Asset Class]],tblInherentImpacts30[],5,FALSE)</f>
        <v>4</v>
      </c>
      <c r="O19" s="24" t="str">
        <f>IFERROR(MAX(tblRiskRegister32[[#This Row],[Impact to Mission]:[Impact to Obligations]])*tblRiskRegister32[[#This Row],[Expectancy Score]],"")</f>
        <v/>
      </c>
      <c r="P19" s="24" t="str">
        <f>tblRiskRegister32[[#This Row],[Risk Score]]</f>
        <v/>
      </c>
      <c r="Q19" s="50"/>
      <c r="R19" s="50">
        <v>2.5</v>
      </c>
      <c r="S19" s="15" t="s">
        <v>161</v>
      </c>
      <c r="T19" s="15" t="s">
        <v>292</v>
      </c>
      <c r="U19" s="15"/>
      <c r="V19" s="16"/>
      <c r="W19" s="23" t="str">
        <f>IFERROR(VLOOKUP(10*tblRiskRegister32[[#This Row],[Risk Treatment Safeguard Maturity Score]]+tblRiskRegister32[[#This Row],[VCDB Index]],tblHITIndexWeightTable[],4,FALSE),"")</f>
        <v/>
      </c>
      <c r="X19" s="23">
        <f>VLOOKUP(tblRiskRegister32[[#This Row],[Asset Class]],tblInherentImpacts30[],2,FALSE)</f>
        <v>3</v>
      </c>
      <c r="Y19" s="23">
        <f>VLOOKUP(tblRiskRegister32[[#This Row],[Asset Class]],tblInherentImpacts30[],3,FALSE)</f>
        <v>4</v>
      </c>
      <c r="Z19" s="23">
        <f>VLOOKUP(tblRiskRegister32[[#This Row],[Asset Class]],tblInherentImpacts30[],3,FALSE)</f>
        <v>4</v>
      </c>
      <c r="AA19" s="23">
        <f>VLOOKUP(tblRiskRegister32[[#This Row],[Asset Class]],tblInherentImpacts30[],4,FALSE)</f>
        <v>1</v>
      </c>
      <c r="AB19" s="23" t="str">
        <f>IFERROR(MAX(tblRiskRegister32[[#This Row],[Risk Treatment Safeguard Impact to Mission]:[Risk Treatment Safeguard Impact to Obligations]])*tblRiskRegister32[[#This Row],[Risk Treatment
Safeguard Expectancy Score]],"")</f>
        <v/>
      </c>
      <c r="AC19" s="23" t="str">
        <f>IF(tblRiskRegister32[[#This Row],[Risk Score]]&gt;AcceptableRisk,IF(tblRiskRegister32[[#This Row],[Risk Treatment Safeguard Risk Score]]&lt;AcceptableRisk, IF(tblRiskRegister32[[#This Row],[Risk Treatment Safeguard Risk Score]]&lt;=tblRiskRegister32[[#This Row],[Risk Score]],"Yes","No"),"No"),"Yes")</f>
        <v>No</v>
      </c>
      <c r="AD19" s="17"/>
      <c r="AE19" s="17"/>
      <c r="AF19" s="18"/>
      <c r="AH19" s="19">
        <f>SUMIF(tblRiskRegister32[[#All],[Implementation Year]],"="&amp;tblCostImpacts33[[#This Row],[Year]],tblRiskRegister32[[#All],[Risk Treatment Safeguard Cost]])</f>
        <v>0</v>
      </c>
      <c r="AI19" s="6">
        <v>2029</v>
      </c>
      <c r="AJ19" s="6" t="str">
        <f>IF(tblCostImpacts33[[#This Row],[Impact to Financial Objectives]]&lt;='2. Enterprise Parameters'!$F$13,"Yes","No")</f>
        <v>Yes</v>
      </c>
    </row>
    <row r="20" spans="2:36" ht="42" hidden="1">
      <c r="B20" s="15" t="s">
        <v>92</v>
      </c>
      <c r="C20" s="50"/>
      <c r="D20" s="50">
        <v>2.6</v>
      </c>
      <c r="E20" s="14" t="s">
        <v>162</v>
      </c>
      <c r="F20" s="15"/>
      <c r="G20" s="15"/>
      <c r="H20" s="16"/>
      <c r="I20" s="24">
        <f>IFERROR(VLOOKUP(tblRiskRegister32[[#This Row],[Asset Class]],tblVCDBIndex[],4,FALSE),"")</f>
        <v>2</v>
      </c>
      <c r="J20" s="24" t="str">
        <f>IFERROR(VLOOKUP(10*tblRiskRegister32[[#This Row],[Safeguard Maturity Score]]+tblRiskRegister32[[#This Row],[VCDB Index]],tblHITIndexWeightTable[],4,FALSE),"")</f>
        <v/>
      </c>
      <c r="K20" s="24">
        <f>VLOOKUP(tblRiskRegister32[[#This Row],[Asset Class]],tblInherentImpacts30[],2,FALSE)</f>
        <v>3</v>
      </c>
      <c r="L20" s="24">
        <f>VLOOKUP(tblRiskRegister32[[#This Row],[Asset Class]],tblInherentImpacts30[],3,FALSE)</f>
        <v>4</v>
      </c>
      <c r="M20" s="24">
        <f>VLOOKUP(tblRiskRegister32[[#This Row],[Asset Class]],tblInherentImpacts30[],4,FALSE)</f>
        <v>1</v>
      </c>
      <c r="N20" s="24">
        <f>VLOOKUP(tblRiskRegister32[[#This Row],[Asset Class]],tblInherentImpacts30[],5,FALSE)</f>
        <v>4</v>
      </c>
      <c r="O20" s="24" t="str">
        <f>IFERROR(MAX(tblRiskRegister32[[#This Row],[Impact to Mission]:[Impact to Obligations]])*tblRiskRegister32[[#This Row],[Expectancy Score]],"")</f>
        <v/>
      </c>
      <c r="P20" s="24" t="str">
        <f>tblRiskRegister32[[#This Row],[Risk Score]]</f>
        <v/>
      </c>
      <c r="Q20" s="50"/>
      <c r="R20" s="50">
        <v>2.6</v>
      </c>
      <c r="S20" s="15" t="s">
        <v>162</v>
      </c>
      <c r="T20" s="15" t="s">
        <v>293</v>
      </c>
      <c r="U20" s="15"/>
      <c r="V20" s="16"/>
      <c r="W20" s="23" t="str">
        <f>IFERROR(VLOOKUP(10*tblRiskRegister32[[#This Row],[Risk Treatment Safeguard Maturity Score]]+tblRiskRegister32[[#This Row],[VCDB Index]],tblHITIndexWeightTable[],4,FALSE),"")</f>
        <v/>
      </c>
      <c r="X20" s="23">
        <f>VLOOKUP(tblRiskRegister32[[#This Row],[Asset Class]],tblInherentImpacts30[],2,FALSE)</f>
        <v>3</v>
      </c>
      <c r="Y20" s="23">
        <f>VLOOKUP(tblRiskRegister32[[#This Row],[Asset Class]],tblInherentImpacts30[],3,FALSE)</f>
        <v>4</v>
      </c>
      <c r="Z20" s="23">
        <f>VLOOKUP(tblRiskRegister32[[#This Row],[Asset Class]],tblInherentImpacts30[],3,FALSE)</f>
        <v>4</v>
      </c>
      <c r="AA20" s="23">
        <f>VLOOKUP(tblRiskRegister32[[#This Row],[Asset Class]],tblInherentImpacts30[],4,FALSE)</f>
        <v>1</v>
      </c>
      <c r="AB20" s="23" t="str">
        <f>IFERROR(MAX(tblRiskRegister32[[#This Row],[Risk Treatment Safeguard Impact to Mission]:[Risk Treatment Safeguard Impact to Obligations]])*tblRiskRegister32[[#This Row],[Risk Treatment
Safeguard Expectancy Score]],"")</f>
        <v/>
      </c>
      <c r="AC20" s="23" t="str">
        <f>IF(tblRiskRegister32[[#This Row],[Risk Score]]&gt;AcceptableRisk,IF(tblRiskRegister32[[#This Row],[Risk Treatment Safeguard Risk Score]]&lt;AcceptableRisk, IF(tblRiskRegister32[[#This Row],[Risk Treatment Safeguard Risk Score]]&lt;=tblRiskRegister32[[#This Row],[Risk Score]],"Yes","No"),"No"),"Yes")</f>
        <v>No</v>
      </c>
      <c r="AD20" s="17"/>
      <c r="AE20" s="17"/>
      <c r="AF20" s="18"/>
      <c r="AH20" s="19">
        <f>SUMIF(tblRiskRegister32[[#All],[Implementation Year]],"="&amp;tblCostImpacts33[[#This Row],[Year]],tblRiskRegister32[[#All],[Risk Treatment Safeguard Cost]])</f>
        <v>0</v>
      </c>
      <c r="AI20" s="6">
        <v>2030</v>
      </c>
      <c r="AJ20" s="6" t="str">
        <f>IF(tblCostImpacts33[[#This Row],[Impact to Financial Objectives]]&lt;='2. Enterprise Parameters'!$F$13,"Yes","No")</f>
        <v>Yes</v>
      </c>
    </row>
    <row r="21" spans="2:36" ht="70" hidden="1">
      <c r="B21" s="15" t="s">
        <v>90</v>
      </c>
      <c r="C21" s="50"/>
      <c r="D21" s="50">
        <v>3.1</v>
      </c>
      <c r="E21" s="14" t="s">
        <v>42</v>
      </c>
      <c r="F21" s="15"/>
      <c r="G21" s="15"/>
      <c r="H21" s="16"/>
      <c r="I21" s="24">
        <f>IFERROR(VLOOKUP(tblRiskRegister32[[#This Row],[Asset Class]],tblVCDBIndex[],4,FALSE),"")</f>
        <v>3</v>
      </c>
      <c r="J21" s="24" t="str">
        <f>IFERROR(VLOOKUP(10*tblRiskRegister32[[#This Row],[Safeguard Maturity Score]]+tblRiskRegister32[[#This Row],[VCDB Index]],tblHITIndexWeightTable[],4,FALSE),"")</f>
        <v/>
      </c>
      <c r="K21" s="24">
        <f>VLOOKUP(tblRiskRegister32[[#This Row],[Asset Class]],tblInherentImpacts30[],2,FALSE)</f>
        <v>4</v>
      </c>
      <c r="L21" s="24">
        <f>VLOOKUP(tblRiskRegister32[[#This Row],[Asset Class]],tblInherentImpacts30[],3,FALSE)</f>
        <v>4</v>
      </c>
      <c r="M21" s="24">
        <f>VLOOKUP(tblRiskRegister32[[#This Row],[Asset Class]],tblInherentImpacts30[],4,FALSE)</f>
        <v>1</v>
      </c>
      <c r="N21" s="24">
        <f>VLOOKUP(tblRiskRegister32[[#This Row],[Asset Class]],tblInherentImpacts30[],5,FALSE)</f>
        <v>4</v>
      </c>
      <c r="O21" s="24" t="str">
        <f>IFERROR(MAX(tblRiskRegister32[[#This Row],[Impact to Mission]:[Impact to Obligations]])*tblRiskRegister32[[#This Row],[Expectancy Score]],"")</f>
        <v/>
      </c>
      <c r="P21" s="24" t="str">
        <f>tblRiskRegister32[[#This Row],[Risk Score]]</f>
        <v/>
      </c>
      <c r="Q21" s="50"/>
      <c r="R21" s="50">
        <v>3.1</v>
      </c>
      <c r="S21" s="15" t="s">
        <v>42</v>
      </c>
      <c r="T21" s="15" t="s">
        <v>294</v>
      </c>
      <c r="U21" s="15"/>
      <c r="V21" s="16"/>
      <c r="W21" s="23" t="str">
        <f>IFERROR(VLOOKUP(10*tblRiskRegister32[[#This Row],[Risk Treatment Safeguard Maturity Score]]+tblRiskRegister32[[#This Row],[VCDB Index]],tblHITIndexWeightTable[],4,FALSE),"")</f>
        <v/>
      </c>
      <c r="X21" s="23">
        <f>VLOOKUP(tblRiskRegister32[[#This Row],[Asset Class]],tblInherentImpacts30[],2,FALSE)</f>
        <v>4</v>
      </c>
      <c r="Y21" s="23">
        <f>VLOOKUP(tblRiskRegister32[[#This Row],[Asset Class]],tblInherentImpacts30[],3,FALSE)</f>
        <v>4</v>
      </c>
      <c r="Z21" s="23">
        <f>VLOOKUP(tblRiskRegister32[[#This Row],[Asset Class]],tblInherentImpacts30[],3,FALSE)</f>
        <v>4</v>
      </c>
      <c r="AA21" s="23">
        <f>VLOOKUP(tblRiskRegister32[[#This Row],[Asset Class]],tblInherentImpacts30[],4,FALSE)</f>
        <v>1</v>
      </c>
      <c r="AB21" s="23" t="str">
        <f>IFERROR(MAX(tblRiskRegister32[[#This Row],[Risk Treatment Safeguard Impact to Mission]:[Risk Treatment Safeguard Impact to Obligations]])*tblRiskRegister32[[#This Row],[Risk Treatment
Safeguard Expectancy Score]],"")</f>
        <v/>
      </c>
      <c r="AC21" s="23" t="str">
        <f>IF(tblRiskRegister32[[#This Row],[Risk Score]]&gt;AcceptableRisk,IF(tblRiskRegister32[[#This Row],[Risk Treatment Safeguard Risk Score]]&lt;AcceptableRisk, IF(tblRiskRegister32[[#This Row],[Risk Treatment Safeguard Risk Score]]&lt;=tblRiskRegister32[[#This Row],[Risk Score]],"Yes","No"),"No"),"Yes")</f>
        <v>No</v>
      </c>
      <c r="AD21" s="17"/>
      <c r="AE21" s="17"/>
      <c r="AF21" s="18"/>
    </row>
    <row r="22" spans="2:36" ht="42" hidden="1" customHeight="1">
      <c r="B22" s="15" t="s">
        <v>90</v>
      </c>
      <c r="C22" s="50"/>
      <c r="D22" s="174">
        <v>3.1</v>
      </c>
      <c r="E22" s="14" t="s">
        <v>180</v>
      </c>
      <c r="F22" s="15"/>
      <c r="G22" s="15"/>
      <c r="H22" s="16"/>
      <c r="I22" s="24">
        <f>IFERROR(VLOOKUP(tblRiskRegister32[[#This Row],[Asset Class]],tblVCDBIndex[],4,FALSE),"")</f>
        <v>3</v>
      </c>
      <c r="J22" s="24" t="str">
        <f>IFERROR(VLOOKUP(10*tblRiskRegister32[[#This Row],[Safeguard Maturity Score]]+tblRiskRegister32[[#This Row],[VCDB Index]],tblHITIndexWeightTable[],4,FALSE),"")</f>
        <v/>
      </c>
      <c r="K22" s="24">
        <f>VLOOKUP(tblRiskRegister32[[#This Row],[Asset Class]],tblInherentImpacts30[],2,FALSE)</f>
        <v>4</v>
      </c>
      <c r="L22" s="24">
        <f>VLOOKUP(tblRiskRegister32[[#This Row],[Asset Class]],tblInherentImpacts30[],3,FALSE)</f>
        <v>4</v>
      </c>
      <c r="M22" s="24">
        <f>VLOOKUP(tblRiskRegister32[[#This Row],[Asset Class]],tblInherentImpacts30[],4,FALSE)</f>
        <v>1</v>
      </c>
      <c r="N22" s="24">
        <f>VLOOKUP(tblRiskRegister32[[#This Row],[Asset Class]],tblInherentImpacts30[],5,FALSE)</f>
        <v>4</v>
      </c>
      <c r="O22" s="24" t="str">
        <f>IFERROR(MAX(tblRiskRegister32[[#This Row],[Impact to Mission]:[Impact to Obligations]])*tblRiskRegister32[[#This Row],[Expectancy Score]],"")</f>
        <v/>
      </c>
      <c r="P22" s="24" t="str">
        <f>tblRiskRegister32[[#This Row],[Risk Score]]</f>
        <v/>
      </c>
      <c r="Q22" s="50"/>
      <c r="R22" s="50">
        <v>3.1</v>
      </c>
      <c r="S22" s="15" t="s">
        <v>180</v>
      </c>
      <c r="T22" s="15" t="s">
        <v>303</v>
      </c>
      <c r="U22" s="15"/>
      <c r="V22" s="16"/>
      <c r="W22" s="23" t="str">
        <f>IFERROR(VLOOKUP(10*tblRiskRegister32[[#This Row],[Risk Treatment Safeguard Maturity Score]]+tblRiskRegister32[[#This Row],[VCDB Index]],tblHITIndexWeightTable[],4,FALSE),"")</f>
        <v/>
      </c>
      <c r="X22" s="23">
        <f>VLOOKUP(tblRiskRegister32[[#This Row],[Asset Class]],tblInherentImpacts30[],2,FALSE)</f>
        <v>4</v>
      </c>
      <c r="Y22" s="23">
        <f>VLOOKUP(tblRiskRegister32[[#This Row],[Asset Class]],tblInherentImpacts30[],3,FALSE)</f>
        <v>4</v>
      </c>
      <c r="Z22" s="23">
        <f>VLOOKUP(tblRiskRegister32[[#This Row],[Asset Class]],tblInherentImpacts30[],3,FALSE)</f>
        <v>4</v>
      </c>
      <c r="AA22" s="23">
        <f>VLOOKUP(tblRiskRegister32[[#This Row],[Asset Class]],tblInherentImpacts30[],4,FALSE)</f>
        <v>1</v>
      </c>
      <c r="AB22" s="23" t="str">
        <f>IFERROR(MAX(tblRiskRegister32[[#This Row],[Risk Treatment Safeguard Impact to Mission]:[Risk Treatment Safeguard Impact to Obligations]])*tblRiskRegister32[[#This Row],[Risk Treatment
Safeguard Expectancy Score]],"")</f>
        <v/>
      </c>
      <c r="AC22" s="23" t="str">
        <f>IF(tblRiskRegister32[[#This Row],[Risk Score]]&gt;AcceptableRisk,IF(tblRiskRegister32[[#This Row],[Risk Treatment Safeguard Risk Score]]&lt;AcceptableRisk, IF(tblRiskRegister32[[#This Row],[Risk Treatment Safeguard Risk Score]]&lt;=tblRiskRegister32[[#This Row],[Risk Score]],"Yes","No"),"No"),"Yes")</f>
        <v>No</v>
      </c>
      <c r="AD22" s="17"/>
      <c r="AE22" s="17"/>
      <c r="AF22" s="18"/>
    </row>
    <row r="23" spans="2:36" ht="156" customHeight="1">
      <c r="B23" s="15" t="s">
        <v>90</v>
      </c>
      <c r="C23" s="50" t="s">
        <v>520</v>
      </c>
      <c r="D23" s="50">
        <v>3.11</v>
      </c>
      <c r="E23" s="14" t="s">
        <v>181</v>
      </c>
      <c r="F23" s="15" t="s">
        <v>544</v>
      </c>
      <c r="G23" s="15" t="s">
        <v>575</v>
      </c>
      <c r="H23" s="16">
        <v>4</v>
      </c>
      <c r="I23" s="24">
        <f>IFERROR(VLOOKUP(tblRiskRegister32[[#This Row],[Asset Class]],tblVCDBIndex[],4,FALSE),"")</f>
        <v>3</v>
      </c>
      <c r="J23" s="24">
        <f>IFERROR(VLOOKUP(10*tblRiskRegister32[[#This Row],[Safeguard Maturity Score]]+tblRiskRegister32[[#This Row],[VCDB Index]],tblHITIndexWeightTable[],4,FALSE),"")</f>
        <v>2</v>
      </c>
      <c r="K23" s="24">
        <f>VLOOKUP(tblRiskRegister32[[#This Row],[Asset Class]],tblInherentImpacts30[],2,FALSE)</f>
        <v>4</v>
      </c>
      <c r="L23" s="24">
        <f>VLOOKUP(tblRiskRegister32[[#This Row],[Asset Class]],tblInherentImpacts30[],3,FALSE)</f>
        <v>4</v>
      </c>
      <c r="M23" s="24">
        <f>VLOOKUP(tblRiskRegister32[[#This Row],[Asset Class]],tblInherentImpacts30[],4,FALSE)</f>
        <v>1</v>
      </c>
      <c r="N23" s="24">
        <f>VLOOKUP(tblRiskRegister32[[#This Row],[Asset Class]],tblInherentImpacts30[],5,FALSE)</f>
        <v>4</v>
      </c>
      <c r="O23" s="24">
        <f>IFERROR(MAX(tblRiskRegister32[[#This Row],[Impact to Mission]:[Impact to Obligations]])*tblRiskRegister32[[#This Row],[Expectancy Score]],"")</f>
        <v>8</v>
      </c>
      <c r="P23" s="24">
        <f>tblRiskRegister32[[#This Row],[Risk Score]]</f>
        <v>8</v>
      </c>
      <c r="Q23" s="50" t="s">
        <v>449</v>
      </c>
      <c r="R23" s="50">
        <v>3.11</v>
      </c>
      <c r="S23" s="15" t="s">
        <v>181</v>
      </c>
      <c r="T23" s="15" t="s">
        <v>304</v>
      </c>
      <c r="U23" s="15"/>
      <c r="V23" s="16"/>
      <c r="W23" s="23" t="str">
        <f>IFERROR(VLOOKUP(10*tblRiskRegister32[[#This Row],[Risk Treatment Safeguard Maturity Score]]+tblRiskRegister32[[#This Row],[VCDB Index]],tblHITIndexWeightTable[],4,FALSE),"")</f>
        <v/>
      </c>
      <c r="X23" s="23">
        <f>VLOOKUP(tblRiskRegister32[[#This Row],[Asset Class]],tblInherentImpacts30[],2,FALSE)</f>
        <v>4</v>
      </c>
      <c r="Y23" s="23">
        <f>VLOOKUP(tblRiskRegister32[[#This Row],[Asset Class]],tblInherentImpacts30[],3,FALSE)</f>
        <v>4</v>
      </c>
      <c r="Z23" s="23">
        <f>VLOOKUP(tblRiskRegister32[[#This Row],[Asset Class]],tblInherentImpacts30[],3,FALSE)</f>
        <v>4</v>
      </c>
      <c r="AA23" s="23">
        <f>VLOOKUP(tblRiskRegister32[[#This Row],[Asset Class]],tblInherentImpacts30[],4,FALSE)</f>
        <v>1</v>
      </c>
      <c r="AB23" s="23" t="str">
        <f>IFERROR(MAX(tblRiskRegister32[[#This Row],[Risk Treatment Safeguard Impact to Mission]:[Risk Treatment Safeguard Impact to Obligations]])*tblRiskRegister32[[#This Row],[Risk Treatment
Safeguard Expectancy Score]],"")</f>
        <v/>
      </c>
      <c r="AC23" s="23" t="str">
        <f>IF(tblRiskRegister32[[#This Row],[Risk Score]]&gt;AcceptableRisk,IF(tblRiskRegister32[[#This Row],[Risk Treatment Safeguard Risk Score]]&lt;AcceptableRisk, IF(tblRiskRegister32[[#This Row],[Risk Treatment Safeguard Risk Score]]&lt;=tblRiskRegister32[[#This Row],[Risk Score]],"Yes","No"),"No"),"Yes")</f>
        <v>Yes</v>
      </c>
      <c r="AD23" s="17"/>
      <c r="AE23" s="17"/>
      <c r="AF23" s="18"/>
    </row>
    <row r="24" spans="2:36" ht="28" hidden="1">
      <c r="B24" s="15" t="s">
        <v>93</v>
      </c>
      <c r="C24" s="50"/>
      <c r="D24" s="50">
        <v>3.12</v>
      </c>
      <c r="E24" s="14" t="s">
        <v>207</v>
      </c>
      <c r="F24" s="15"/>
      <c r="G24" s="15"/>
      <c r="H24" s="16"/>
      <c r="I24" s="24">
        <f>IFERROR(VLOOKUP(tblRiskRegister32[[#This Row],[Asset Class]],tblVCDBIndex[],4,FALSE),"")</f>
        <v>1</v>
      </c>
      <c r="J24" s="24" t="str">
        <f>IFERROR(VLOOKUP(10*tblRiskRegister32[[#This Row],[Safeguard Maturity Score]]+tblRiskRegister32[[#This Row],[VCDB Index]],tblHITIndexWeightTable[],4,FALSE),"")</f>
        <v/>
      </c>
      <c r="K24" s="24">
        <f>VLOOKUP(tblRiskRegister32[[#This Row],[Asset Class]],tblInherentImpacts30[],2,FALSE)</f>
        <v>4</v>
      </c>
      <c r="L24" s="24">
        <f>VLOOKUP(tblRiskRegister32[[#This Row],[Asset Class]],tblInherentImpacts30[],3,FALSE)</f>
        <v>5</v>
      </c>
      <c r="M24" s="24">
        <f>VLOOKUP(tblRiskRegister32[[#This Row],[Asset Class]],tblInherentImpacts30[],4,FALSE)</f>
        <v>1</v>
      </c>
      <c r="N24" s="24">
        <f>VLOOKUP(tblRiskRegister32[[#This Row],[Asset Class]],tblInherentImpacts30[],5,FALSE)</f>
        <v>5</v>
      </c>
      <c r="O24" s="24" t="str">
        <f>IFERROR(MAX(tblRiskRegister32[[#This Row],[Impact to Mission]:[Impact to Obligations]])*tblRiskRegister32[[#This Row],[Expectancy Score]],"")</f>
        <v/>
      </c>
      <c r="P24" s="24" t="str">
        <f>tblRiskRegister32[[#This Row],[Risk Score]]</f>
        <v/>
      </c>
      <c r="Q24" s="50"/>
      <c r="R24" s="50">
        <v>3.12</v>
      </c>
      <c r="S24" s="15" t="s">
        <v>207</v>
      </c>
      <c r="T24" s="15" t="s">
        <v>305</v>
      </c>
      <c r="U24" s="26"/>
      <c r="V24" s="16"/>
      <c r="W24" s="23" t="str">
        <f>IFERROR(VLOOKUP(10*tblRiskRegister32[[#This Row],[Risk Treatment Safeguard Maturity Score]]+tblRiskRegister32[[#This Row],[VCDB Index]],tblHITIndexWeightTable[],4,FALSE),"")</f>
        <v/>
      </c>
      <c r="X24" s="23">
        <f>VLOOKUP(tblRiskRegister32[[#This Row],[Asset Class]],tblInherentImpacts30[],2,FALSE)</f>
        <v>4</v>
      </c>
      <c r="Y24" s="23">
        <f>VLOOKUP(tblRiskRegister32[[#This Row],[Asset Class]],tblInherentImpacts30[],3,FALSE)</f>
        <v>5</v>
      </c>
      <c r="Z24" s="23">
        <f>VLOOKUP(tblRiskRegister32[[#This Row],[Asset Class]],tblInherentImpacts30[],3,FALSE)</f>
        <v>5</v>
      </c>
      <c r="AA24" s="23">
        <f>VLOOKUP(tblRiskRegister32[[#This Row],[Asset Class]],tblInherentImpacts30[],4,FALSE)</f>
        <v>1</v>
      </c>
      <c r="AB24" s="23" t="str">
        <f>IFERROR(MAX(tblRiskRegister32[[#This Row],[Risk Treatment Safeguard Impact to Mission]:[Risk Treatment Safeguard Impact to Obligations]])*tblRiskRegister32[[#This Row],[Risk Treatment
Safeguard Expectancy Score]],"")</f>
        <v/>
      </c>
      <c r="AC24" s="23" t="str">
        <f>IF(tblRiskRegister32[[#This Row],[Risk Score]]&gt;AcceptableRisk,IF(tblRiskRegister32[[#This Row],[Risk Treatment Safeguard Risk Score]]&lt;AcceptableRisk, IF(tblRiskRegister32[[#This Row],[Risk Treatment Safeguard Risk Score]]&lt;=tblRiskRegister32[[#This Row],[Risk Score]],"Yes","No"),"No"),"Yes")</f>
        <v>No</v>
      </c>
      <c r="AD24" s="17"/>
      <c r="AE24" s="17"/>
      <c r="AF24" s="18"/>
    </row>
    <row r="25" spans="2:36" ht="42" hidden="1">
      <c r="B25" s="15" t="s">
        <v>90</v>
      </c>
      <c r="C25" s="50"/>
      <c r="D25" s="50">
        <v>3.2</v>
      </c>
      <c r="E25" s="14" t="s">
        <v>43</v>
      </c>
      <c r="F25" s="15"/>
      <c r="G25" s="15"/>
      <c r="H25" s="16"/>
      <c r="I25" s="24">
        <f>IFERROR(VLOOKUP(tblRiskRegister32[[#This Row],[Asset Class]],tblVCDBIndex[],4,FALSE),"")</f>
        <v>3</v>
      </c>
      <c r="J25" s="24" t="str">
        <f>IFERROR(VLOOKUP(10*tblRiskRegister32[[#This Row],[Safeguard Maturity Score]]+tblRiskRegister32[[#This Row],[VCDB Index]],tblHITIndexWeightTable[],4,FALSE),"")</f>
        <v/>
      </c>
      <c r="K25" s="24">
        <f>VLOOKUP(tblRiskRegister32[[#This Row],[Asset Class]],tblInherentImpacts30[],2,FALSE)</f>
        <v>4</v>
      </c>
      <c r="L25" s="24">
        <f>VLOOKUP(tblRiskRegister32[[#This Row],[Asset Class]],tblInherentImpacts30[],3,FALSE)</f>
        <v>4</v>
      </c>
      <c r="M25" s="24">
        <f>VLOOKUP(tblRiskRegister32[[#This Row],[Asset Class]],tblInherentImpacts30[],4,FALSE)</f>
        <v>1</v>
      </c>
      <c r="N25" s="24">
        <f>VLOOKUP(tblRiskRegister32[[#This Row],[Asset Class]],tblInherentImpacts30[],5,FALSE)</f>
        <v>4</v>
      </c>
      <c r="O25" s="24" t="str">
        <f>IFERROR(MAX(tblRiskRegister32[[#This Row],[Impact to Mission]:[Impact to Obligations]])*tblRiskRegister32[[#This Row],[Expectancy Score]],"")</f>
        <v/>
      </c>
      <c r="P25" s="24" t="str">
        <f>tblRiskRegister32[[#This Row],[Risk Score]]</f>
        <v/>
      </c>
      <c r="Q25" s="50"/>
      <c r="R25" s="50">
        <v>3.2</v>
      </c>
      <c r="S25" s="15" t="s">
        <v>43</v>
      </c>
      <c r="T25" s="15" t="s">
        <v>295</v>
      </c>
      <c r="U25" s="15"/>
      <c r="V25" s="16"/>
      <c r="W25" s="23" t="str">
        <f>IFERROR(VLOOKUP(10*tblRiskRegister32[[#This Row],[Risk Treatment Safeguard Maturity Score]]+tblRiskRegister32[[#This Row],[VCDB Index]],tblHITIndexWeightTable[],4,FALSE),"")</f>
        <v/>
      </c>
      <c r="X25" s="23">
        <f>VLOOKUP(tblRiskRegister32[[#This Row],[Asset Class]],tblInherentImpacts30[],2,FALSE)</f>
        <v>4</v>
      </c>
      <c r="Y25" s="23">
        <f>VLOOKUP(tblRiskRegister32[[#This Row],[Asset Class]],tblInherentImpacts30[],3,FALSE)</f>
        <v>4</v>
      </c>
      <c r="Z25" s="23">
        <f>VLOOKUP(tblRiskRegister32[[#This Row],[Asset Class]],tblInherentImpacts30[],3,FALSE)</f>
        <v>4</v>
      </c>
      <c r="AA25" s="23">
        <f>VLOOKUP(tblRiskRegister32[[#This Row],[Asset Class]],tblInherentImpacts30[],4,FALSE)</f>
        <v>1</v>
      </c>
      <c r="AB25" s="23" t="str">
        <f>IFERROR(MAX(tblRiskRegister32[[#This Row],[Risk Treatment Safeguard Impact to Mission]:[Risk Treatment Safeguard Impact to Obligations]])*tblRiskRegister32[[#This Row],[Risk Treatment
Safeguard Expectancy Score]],"")</f>
        <v/>
      </c>
      <c r="AC25" s="23" t="str">
        <f>IF(tblRiskRegister32[[#This Row],[Risk Score]]&gt;AcceptableRisk,IF(tblRiskRegister32[[#This Row],[Risk Treatment Safeguard Risk Score]]&lt;AcceptableRisk, IF(tblRiskRegister32[[#This Row],[Risk Treatment Safeguard Risk Score]]&lt;=tblRiskRegister32[[#This Row],[Risk Score]],"Yes","No"),"No"),"Yes")</f>
        <v>No</v>
      </c>
      <c r="AD25" s="17"/>
      <c r="AE25" s="17"/>
      <c r="AF25" s="18"/>
    </row>
    <row r="26" spans="2:36" ht="42" hidden="1">
      <c r="B26" s="15" t="s">
        <v>90</v>
      </c>
      <c r="C26" s="50"/>
      <c r="D26" s="50">
        <v>3.3</v>
      </c>
      <c r="E26" s="14" t="s">
        <v>44</v>
      </c>
      <c r="F26" s="15"/>
      <c r="G26" s="15"/>
      <c r="H26" s="16"/>
      <c r="I26" s="24">
        <f>IFERROR(VLOOKUP(tblRiskRegister32[[#This Row],[Asset Class]],tblVCDBIndex[],4,FALSE),"")</f>
        <v>3</v>
      </c>
      <c r="J26" s="24" t="str">
        <f>IFERROR(VLOOKUP(10*tblRiskRegister32[[#This Row],[Safeguard Maturity Score]]+tblRiskRegister32[[#This Row],[VCDB Index]],tblHITIndexWeightTable[],4,FALSE),"")</f>
        <v/>
      </c>
      <c r="K26" s="24">
        <f>VLOOKUP(tblRiskRegister32[[#This Row],[Asset Class]],tblInherentImpacts30[],2,FALSE)</f>
        <v>4</v>
      </c>
      <c r="L26" s="24">
        <f>VLOOKUP(tblRiskRegister32[[#This Row],[Asset Class]],tblInherentImpacts30[],3,FALSE)</f>
        <v>4</v>
      </c>
      <c r="M26" s="24">
        <f>VLOOKUP(tblRiskRegister32[[#This Row],[Asset Class]],tblInherentImpacts30[],4,FALSE)</f>
        <v>1</v>
      </c>
      <c r="N26" s="24">
        <f>VLOOKUP(tblRiskRegister32[[#This Row],[Asset Class]],tblInherentImpacts30[],5,FALSE)</f>
        <v>4</v>
      </c>
      <c r="O26" s="24" t="str">
        <f>IFERROR(MAX(tblRiskRegister32[[#This Row],[Impact to Mission]:[Impact to Obligations]])*tblRiskRegister32[[#This Row],[Expectancy Score]],"")</f>
        <v/>
      </c>
      <c r="P26" s="24" t="str">
        <f>tblRiskRegister32[[#This Row],[Risk Score]]</f>
        <v/>
      </c>
      <c r="Q26" s="50"/>
      <c r="R26" s="50">
        <v>3.3</v>
      </c>
      <c r="S26" s="15" t="s">
        <v>44</v>
      </c>
      <c r="T26" s="15" t="s">
        <v>296</v>
      </c>
      <c r="U26" s="15"/>
      <c r="V26" s="16"/>
      <c r="W26" s="23" t="str">
        <f>IFERROR(VLOOKUP(10*tblRiskRegister32[[#This Row],[Risk Treatment Safeguard Maturity Score]]+tblRiskRegister32[[#This Row],[VCDB Index]],tblHITIndexWeightTable[],4,FALSE),"")</f>
        <v/>
      </c>
      <c r="X26" s="23">
        <f>VLOOKUP(tblRiskRegister32[[#This Row],[Asset Class]],tblInherentImpacts30[],2,FALSE)</f>
        <v>4</v>
      </c>
      <c r="Y26" s="23">
        <f>VLOOKUP(tblRiskRegister32[[#This Row],[Asset Class]],tblInherentImpacts30[],3,FALSE)</f>
        <v>4</v>
      </c>
      <c r="Z26" s="23">
        <f>VLOOKUP(tblRiskRegister32[[#This Row],[Asset Class]],tblInherentImpacts30[],3,FALSE)</f>
        <v>4</v>
      </c>
      <c r="AA26" s="23">
        <f>VLOOKUP(tblRiskRegister32[[#This Row],[Asset Class]],tblInherentImpacts30[],4,FALSE)</f>
        <v>1</v>
      </c>
      <c r="AB26" s="23" t="str">
        <f>IFERROR(MAX(tblRiskRegister32[[#This Row],[Risk Treatment Safeguard Impact to Mission]:[Risk Treatment Safeguard Impact to Obligations]])*tblRiskRegister32[[#This Row],[Risk Treatment
Safeguard Expectancy Score]],"")</f>
        <v/>
      </c>
      <c r="AC26" s="23" t="str">
        <f>IF(tblRiskRegister32[[#This Row],[Risk Score]]&gt;AcceptableRisk,IF(tblRiskRegister32[[#This Row],[Risk Treatment Safeguard Risk Score]]&lt;AcceptableRisk, IF(tblRiskRegister32[[#This Row],[Risk Treatment Safeguard Risk Score]]&lt;=tblRiskRegister32[[#This Row],[Risk Score]],"Yes","No"),"No"),"Yes")</f>
        <v>No</v>
      </c>
      <c r="AD26" s="17"/>
      <c r="AE26" s="17"/>
      <c r="AF26" s="18"/>
    </row>
    <row r="27" spans="2:36" ht="28" hidden="1">
      <c r="B27" s="15" t="s">
        <v>90</v>
      </c>
      <c r="C27" s="50"/>
      <c r="D27" s="50">
        <v>3.4</v>
      </c>
      <c r="E27" s="14" t="s">
        <v>45</v>
      </c>
      <c r="F27" s="15"/>
      <c r="G27" s="15"/>
      <c r="H27" s="16"/>
      <c r="I27" s="24">
        <f>IFERROR(VLOOKUP(tblRiskRegister32[[#This Row],[Asset Class]],tblVCDBIndex[],4,FALSE),"")</f>
        <v>3</v>
      </c>
      <c r="J27" s="24" t="str">
        <f>IFERROR(VLOOKUP(10*tblRiskRegister32[[#This Row],[Safeguard Maturity Score]]+tblRiskRegister32[[#This Row],[VCDB Index]],tblHITIndexWeightTable[],4,FALSE),"")</f>
        <v/>
      </c>
      <c r="K27" s="24">
        <f>VLOOKUP(tblRiskRegister32[[#This Row],[Asset Class]],tblInherentImpacts30[],2,FALSE)</f>
        <v>4</v>
      </c>
      <c r="L27" s="24">
        <f>VLOOKUP(tblRiskRegister32[[#This Row],[Asset Class]],tblInherentImpacts30[],3,FALSE)</f>
        <v>4</v>
      </c>
      <c r="M27" s="24">
        <f>VLOOKUP(tblRiskRegister32[[#This Row],[Asset Class]],tblInherentImpacts30[],4,FALSE)</f>
        <v>1</v>
      </c>
      <c r="N27" s="24">
        <f>VLOOKUP(tblRiskRegister32[[#This Row],[Asset Class]],tblInherentImpacts30[],5,FALSE)</f>
        <v>4</v>
      </c>
      <c r="O27" s="24" t="str">
        <f>IFERROR(MAX(tblRiskRegister32[[#This Row],[Impact to Mission]:[Impact to Obligations]])*tblRiskRegister32[[#This Row],[Expectancy Score]],"")</f>
        <v/>
      </c>
      <c r="P27" s="24" t="str">
        <f>tblRiskRegister32[[#This Row],[Risk Score]]</f>
        <v/>
      </c>
      <c r="Q27" s="50"/>
      <c r="R27" s="50">
        <v>3.4</v>
      </c>
      <c r="S27" s="15" t="s">
        <v>45</v>
      </c>
      <c r="T27" s="15" t="s">
        <v>297</v>
      </c>
      <c r="U27" s="15"/>
      <c r="V27" s="16"/>
      <c r="W27" s="23" t="str">
        <f>IFERROR(VLOOKUP(10*tblRiskRegister32[[#This Row],[Risk Treatment Safeguard Maturity Score]]+tblRiskRegister32[[#This Row],[VCDB Index]],tblHITIndexWeightTable[],4,FALSE),"")</f>
        <v/>
      </c>
      <c r="X27" s="23">
        <f>VLOOKUP(tblRiskRegister32[[#This Row],[Asset Class]],tblInherentImpacts30[],2,FALSE)</f>
        <v>4</v>
      </c>
      <c r="Y27" s="23">
        <f>VLOOKUP(tblRiskRegister32[[#This Row],[Asset Class]],tblInherentImpacts30[],3,FALSE)</f>
        <v>4</v>
      </c>
      <c r="Z27" s="23">
        <f>VLOOKUP(tblRiskRegister32[[#This Row],[Asset Class]],tblInherentImpacts30[],3,FALSE)</f>
        <v>4</v>
      </c>
      <c r="AA27" s="23">
        <f>VLOOKUP(tblRiskRegister32[[#This Row],[Asset Class]],tblInherentImpacts30[],4,FALSE)</f>
        <v>1</v>
      </c>
      <c r="AB27" s="23" t="str">
        <f>IFERROR(MAX(tblRiskRegister32[[#This Row],[Risk Treatment Safeguard Impact to Mission]:[Risk Treatment Safeguard Impact to Obligations]])*tblRiskRegister32[[#This Row],[Risk Treatment
Safeguard Expectancy Score]],"")</f>
        <v/>
      </c>
      <c r="AC27" s="23" t="str">
        <f>IF(tblRiskRegister32[[#This Row],[Risk Score]]&gt;AcceptableRisk,IF(tblRiskRegister32[[#This Row],[Risk Treatment Safeguard Risk Score]]&lt;AcceptableRisk, IF(tblRiskRegister32[[#This Row],[Risk Treatment Safeguard Risk Score]]&lt;=tblRiskRegister32[[#This Row],[Risk Score]],"Yes","No"),"No"),"Yes")</f>
        <v>No</v>
      </c>
      <c r="AD27" s="17"/>
      <c r="AE27" s="17"/>
      <c r="AF27" s="18"/>
    </row>
    <row r="28" spans="2:36" ht="28" hidden="1">
      <c r="B28" s="15" t="s">
        <v>90</v>
      </c>
      <c r="C28" s="50"/>
      <c r="D28" s="50">
        <v>3.5</v>
      </c>
      <c r="E28" s="14" t="s">
        <v>46</v>
      </c>
      <c r="F28" s="15"/>
      <c r="G28" s="15"/>
      <c r="H28" s="16"/>
      <c r="I28" s="24">
        <f>IFERROR(VLOOKUP(tblRiskRegister32[[#This Row],[Asset Class]],tblVCDBIndex[],4,FALSE),"")</f>
        <v>3</v>
      </c>
      <c r="J28" s="24" t="str">
        <f>IFERROR(VLOOKUP(10*tblRiskRegister32[[#This Row],[Safeguard Maturity Score]]+tblRiskRegister32[[#This Row],[VCDB Index]],tblHITIndexWeightTable[],4,FALSE),"")</f>
        <v/>
      </c>
      <c r="K28" s="24">
        <f>VLOOKUP(tblRiskRegister32[[#This Row],[Asset Class]],tblInherentImpacts30[],2,FALSE)</f>
        <v>4</v>
      </c>
      <c r="L28" s="24">
        <f>VLOOKUP(tblRiskRegister32[[#This Row],[Asset Class]],tblInherentImpacts30[],3,FALSE)</f>
        <v>4</v>
      </c>
      <c r="M28" s="24">
        <f>VLOOKUP(tblRiskRegister32[[#This Row],[Asset Class]],tblInherentImpacts30[],4,FALSE)</f>
        <v>1</v>
      </c>
      <c r="N28" s="24">
        <f>VLOOKUP(tblRiskRegister32[[#This Row],[Asset Class]],tblInherentImpacts30[],5,FALSE)</f>
        <v>4</v>
      </c>
      <c r="O28" s="24" t="str">
        <f>IFERROR(MAX(tblRiskRegister32[[#This Row],[Impact to Mission]:[Impact to Obligations]])*tblRiskRegister32[[#This Row],[Expectancy Score]],"")</f>
        <v/>
      </c>
      <c r="P28" s="24" t="str">
        <f>tblRiskRegister32[[#This Row],[Risk Score]]</f>
        <v/>
      </c>
      <c r="Q28" s="50"/>
      <c r="R28" s="50">
        <v>3.5</v>
      </c>
      <c r="S28" s="15" t="s">
        <v>46</v>
      </c>
      <c r="T28" s="15" t="s">
        <v>298</v>
      </c>
      <c r="U28" s="15"/>
      <c r="V28" s="16"/>
      <c r="W28" s="23" t="str">
        <f>IFERROR(VLOOKUP(10*tblRiskRegister32[[#This Row],[Risk Treatment Safeguard Maturity Score]]+tblRiskRegister32[[#This Row],[VCDB Index]],tblHITIndexWeightTable[],4,FALSE),"")</f>
        <v/>
      </c>
      <c r="X28" s="23">
        <f>VLOOKUP(tblRiskRegister32[[#This Row],[Asset Class]],tblInherentImpacts30[],2,FALSE)</f>
        <v>4</v>
      </c>
      <c r="Y28" s="23">
        <f>VLOOKUP(tblRiskRegister32[[#This Row],[Asset Class]],tblInherentImpacts30[],3,FALSE)</f>
        <v>4</v>
      </c>
      <c r="Z28" s="23">
        <f>VLOOKUP(tblRiskRegister32[[#This Row],[Asset Class]],tblInherentImpacts30[],3,FALSE)</f>
        <v>4</v>
      </c>
      <c r="AA28" s="23">
        <f>VLOOKUP(tblRiskRegister32[[#This Row],[Asset Class]],tblInherentImpacts30[],4,FALSE)</f>
        <v>1</v>
      </c>
      <c r="AB28" s="23" t="str">
        <f>IFERROR(MAX(tblRiskRegister32[[#This Row],[Risk Treatment Safeguard Impact to Mission]:[Risk Treatment Safeguard Impact to Obligations]])*tblRiskRegister32[[#This Row],[Risk Treatment
Safeguard Expectancy Score]],"")</f>
        <v/>
      </c>
      <c r="AC28" s="23" t="str">
        <f>IF(tblRiskRegister32[[#This Row],[Risk Score]]&gt;AcceptableRisk,IF(tblRiskRegister32[[#This Row],[Risk Treatment Safeguard Risk Score]]&lt;AcceptableRisk, IF(tblRiskRegister32[[#This Row],[Risk Treatment Safeguard Risk Score]]&lt;=tblRiskRegister32[[#This Row],[Risk Score]],"Yes","No"),"No"),"Yes")</f>
        <v>No</v>
      </c>
      <c r="AD28" s="17"/>
      <c r="AE28" s="17"/>
      <c r="AF28" s="18"/>
    </row>
    <row r="29" spans="2:36" ht="130" customHeight="1">
      <c r="B29" s="15" t="s">
        <v>91</v>
      </c>
      <c r="C29" s="50" t="s">
        <v>520</v>
      </c>
      <c r="D29" s="50">
        <v>3.6</v>
      </c>
      <c r="E29" s="14" t="s">
        <v>47</v>
      </c>
      <c r="F29" s="15" t="s">
        <v>545</v>
      </c>
      <c r="G29" s="15" t="s">
        <v>575</v>
      </c>
      <c r="H29" s="16">
        <v>3</v>
      </c>
      <c r="I29" s="24">
        <f>IFERROR(VLOOKUP(tblRiskRegister32[[#This Row],[Asset Class]],tblVCDBIndex[],4,FALSE),"")</f>
        <v>1</v>
      </c>
      <c r="J29" s="24">
        <f>IFERROR(VLOOKUP(10*tblRiskRegister32[[#This Row],[Safeguard Maturity Score]]+tblRiskRegister32[[#This Row],[VCDB Index]],tblHITIndexWeightTable[],4,FALSE),"")</f>
        <v>1</v>
      </c>
      <c r="K29" s="24">
        <f>VLOOKUP(tblRiskRegister32[[#This Row],[Asset Class]],tblInherentImpacts30[],2,FALSE)</f>
        <v>3</v>
      </c>
      <c r="L29" s="24">
        <f>VLOOKUP(tblRiskRegister32[[#This Row],[Asset Class]],tblInherentImpacts30[],3,FALSE)</f>
        <v>3</v>
      </c>
      <c r="M29" s="24">
        <f>VLOOKUP(tblRiskRegister32[[#This Row],[Asset Class]],tblInherentImpacts30[],4,FALSE)</f>
        <v>1</v>
      </c>
      <c r="N29" s="24">
        <f>VLOOKUP(tblRiskRegister32[[#This Row],[Asset Class]],tblInherentImpacts30[],5,FALSE)</f>
        <v>3</v>
      </c>
      <c r="O29" s="24">
        <f>IFERROR(MAX(tblRiskRegister32[[#This Row],[Impact to Mission]:[Impact to Obligations]])*tblRiskRegister32[[#This Row],[Expectancy Score]],"")</f>
        <v>3</v>
      </c>
      <c r="P29" s="24">
        <f>tblRiskRegister32[[#This Row],[Risk Score]]</f>
        <v>3</v>
      </c>
      <c r="Q29" s="50" t="s">
        <v>449</v>
      </c>
      <c r="R29" s="50">
        <v>3.6</v>
      </c>
      <c r="S29" s="15" t="s">
        <v>47</v>
      </c>
      <c r="T29" s="15" t="s">
        <v>299</v>
      </c>
      <c r="U29" s="26"/>
      <c r="V29" s="16"/>
      <c r="W29" s="23" t="str">
        <f>IFERROR(VLOOKUP(10*tblRiskRegister32[[#This Row],[Risk Treatment Safeguard Maturity Score]]+tblRiskRegister32[[#This Row],[VCDB Index]],tblHITIndexWeightTable[],4,FALSE),"")</f>
        <v/>
      </c>
      <c r="X29" s="23">
        <f>VLOOKUP(tblRiskRegister32[[#This Row],[Asset Class]],tblInherentImpacts30[],2,FALSE)</f>
        <v>3</v>
      </c>
      <c r="Y29" s="23">
        <f>VLOOKUP(tblRiskRegister32[[#This Row],[Asset Class]],tblInherentImpacts30[],3,FALSE)</f>
        <v>3</v>
      </c>
      <c r="Z29" s="23">
        <f>VLOOKUP(tblRiskRegister32[[#This Row],[Asset Class]],tblInherentImpacts30[],3,FALSE)</f>
        <v>3</v>
      </c>
      <c r="AA29" s="23">
        <f>VLOOKUP(tblRiskRegister32[[#This Row],[Asset Class]],tblInherentImpacts30[],4,FALSE)</f>
        <v>1</v>
      </c>
      <c r="AB29" s="23" t="str">
        <f>IFERROR(MAX(tblRiskRegister32[[#This Row],[Risk Treatment Safeguard Impact to Mission]:[Risk Treatment Safeguard Impact to Obligations]])*tblRiskRegister32[[#This Row],[Risk Treatment
Safeguard Expectancy Score]],"")</f>
        <v/>
      </c>
      <c r="AC29" s="23" t="str">
        <f>IF(tblRiskRegister32[[#This Row],[Risk Score]]&gt;AcceptableRisk,IF(tblRiskRegister32[[#This Row],[Risk Treatment Safeguard Risk Score]]&lt;AcceptableRisk, IF(tblRiskRegister32[[#This Row],[Risk Treatment Safeguard Risk Score]]&lt;=tblRiskRegister32[[#This Row],[Risk Score]],"Yes","No"),"No"),"Yes")</f>
        <v>Yes</v>
      </c>
      <c r="AD29" s="17"/>
      <c r="AE29" s="17"/>
      <c r="AF29" s="18"/>
    </row>
    <row r="30" spans="2:36" ht="56" hidden="1">
      <c r="B30" s="15" t="s">
        <v>90</v>
      </c>
      <c r="C30" s="50"/>
      <c r="D30" s="50">
        <v>3.7</v>
      </c>
      <c r="E30" s="14" t="s">
        <v>177</v>
      </c>
      <c r="F30" s="15"/>
      <c r="G30" s="15"/>
      <c r="H30" s="16"/>
      <c r="I30" s="24">
        <f>IFERROR(VLOOKUP(tblRiskRegister32[[#This Row],[Asset Class]],tblVCDBIndex[],4,FALSE),"")</f>
        <v>3</v>
      </c>
      <c r="J30" s="24" t="str">
        <f>IFERROR(VLOOKUP(10*tblRiskRegister32[[#This Row],[Safeguard Maturity Score]]+tblRiskRegister32[[#This Row],[VCDB Index]],tblHITIndexWeightTable[],4,FALSE),"")</f>
        <v/>
      </c>
      <c r="K30" s="24">
        <f>VLOOKUP(tblRiskRegister32[[#This Row],[Asset Class]],tblInherentImpacts30[],2,FALSE)</f>
        <v>4</v>
      </c>
      <c r="L30" s="24">
        <f>VLOOKUP(tblRiskRegister32[[#This Row],[Asset Class]],tblInherentImpacts30[],3,FALSE)</f>
        <v>4</v>
      </c>
      <c r="M30" s="24">
        <f>VLOOKUP(tblRiskRegister32[[#This Row],[Asset Class]],tblInherentImpacts30[],4,FALSE)</f>
        <v>1</v>
      </c>
      <c r="N30" s="24">
        <f>VLOOKUP(tblRiskRegister32[[#This Row],[Asset Class]],tblInherentImpacts30[],5,FALSE)</f>
        <v>4</v>
      </c>
      <c r="O30" s="24" t="str">
        <f>IFERROR(MAX(tblRiskRegister32[[#This Row],[Impact to Mission]:[Impact to Obligations]])*tblRiskRegister32[[#This Row],[Expectancy Score]],"")</f>
        <v/>
      </c>
      <c r="P30" s="24" t="str">
        <f>tblRiskRegister32[[#This Row],[Risk Score]]</f>
        <v/>
      </c>
      <c r="Q30" s="50"/>
      <c r="R30" s="50">
        <v>3.7</v>
      </c>
      <c r="S30" s="15" t="s">
        <v>177</v>
      </c>
      <c r="T30" s="15" t="s">
        <v>300</v>
      </c>
      <c r="U30" s="15"/>
      <c r="V30" s="16"/>
      <c r="W30" s="23" t="str">
        <f>IFERROR(VLOOKUP(10*tblRiskRegister32[[#This Row],[Risk Treatment Safeguard Maturity Score]]+tblRiskRegister32[[#This Row],[VCDB Index]],tblHITIndexWeightTable[],4,FALSE),"")</f>
        <v/>
      </c>
      <c r="X30" s="23">
        <f>VLOOKUP(tblRiskRegister32[[#This Row],[Asset Class]],tblInherentImpacts30[],2,FALSE)</f>
        <v>4</v>
      </c>
      <c r="Y30" s="23">
        <f>VLOOKUP(tblRiskRegister32[[#This Row],[Asset Class]],tblInherentImpacts30[],3,FALSE)</f>
        <v>4</v>
      </c>
      <c r="Z30" s="23">
        <f>VLOOKUP(tblRiskRegister32[[#This Row],[Asset Class]],tblInherentImpacts30[],3,FALSE)</f>
        <v>4</v>
      </c>
      <c r="AA30" s="23">
        <f>VLOOKUP(tblRiskRegister32[[#This Row],[Asset Class]],tblInherentImpacts30[],4,FALSE)</f>
        <v>1</v>
      </c>
      <c r="AB30" s="23" t="str">
        <f>IFERROR(MAX(tblRiskRegister32[[#This Row],[Risk Treatment Safeguard Impact to Mission]:[Risk Treatment Safeguard Impact to Obligations]])*tblRiskRegister32[[#This Row],[Risk Treatment
Safeguard Expectancy Score]],"")</f>
        <v/>
      </c>
      <c r="AC30" s="23" t="str">
        <f>IF(tblRiskRegister32[[#This Row],[Risk Score]]&gt;AcceptableRisk,IF(tblRiskRegister32[[#This Row],[Risk Treatment Safeguard Risk Score]]&lt;AcceptableRisk, IF(tblRiskRegister32[[#This Row],[Risk Treatment Safeguard Risk Score]]&lt;=tblRiskRegister32[[#This Row],[Risk Score]],"Yes","No"),"No"),"Yes")</f>
        <v>No</v>
      </c>
      <c r="AD30" s="17"/>
      <c r="AE30" s="17"/>
      <c r="AF30" s="18"/>
    </row>
    <row r="31" spans="2:36" ht="56" hidden="1">
      <c r="B31" s="15" t="s">
        <v>90</v>
      </c>
      <c r="C31" s="50"/>
      <c r="D31" s="50">
        <v>3.8</v>
      </c>
      <c r="E31" s="14" t="s">
        <v>178</v>
      </c>
      <c r="F31" s="15"/>
      <c r="G31" s="15"/>
      <c r="H31" s="16"/>
      <c r="I31" s="24">
        <f>IFERROR(VLOOKUP(tblRiskRegister32[[#This Row],[Asset Class]],tblVCDBIndex[],4,FALSE),"")</f>
        <v>3</v>
      </c>
      <c r="J31" s="24" t="str">
        <f>IFERROR(VLOOKUP(10*tblRiskRegister32[[#This Row],[Safeguard Maturity Score]]+tblRiskRegister32[[#This Row],[VCDB Index]],tblHITIndexWeightTable[],4,FALSE),"")</f>
        <v/>
      </c>
      <c r="K31" s="24">
        <f>VLOOKUP(tblRiskRegister32[[#This Row],[Asset Class]],tblInherentImpacts30[],2,FALSE)</f>
        <v>4</v>
      </c>
      <c r="L31" s="24">
        <f>VLOOKUP(tblRiskRegister32[[#This Row],[Asset Class]],tblInherentImpacts30[],3,FALSE)</f>
        <v>4</v>
      </c>
      <c r="M31" s="24">
        <f>VLOOKUP(tblRiskRegister32[[#This Row],[Asset Class]],tblInherentImpacts30[],4,FALSE)</f>
        <v>1</v>
      </c>
      <c r="N31" s="24">
        <f>VLOOKUP(tblRiskRegister32[[#This Row],[Asset Class]],tblInherentImpacts30[],5,FALSE)</f>
        <v>4</v>
      </c>
      <c r="O31" s="24" t="str">
        <f>IFERROR(MAX(tblRiskRegister32[[#This Row],[Impact to Mission]:[Impact to Obligations]])*tblRiskRegister32[[#This Row],[Expectancy Score]],"")</f>
        <v/>
      </c>
      <c r="P31" s="24" t="str">
        <f>tblRiskRegister32[[#This Row],[Risk Score]]</f>
        <v/>
      </c>
      <c r="Q31" s="50"/>
      <c r="R31" s="50">
        <v>3.8</v>
      </c>
      <c r="S31" s="15" t="s">
        <v>178</v>
      </c>
      <c r="T31" s="15" t="s">
        <v>301</v>
      </c>
      <c r="U31" s="15"/>
      <c r="V31" s="16"/>
      <c r="W31" s="23" t="str">
        <f>IFERROR(VLOOKUP(10*tblRiskRegister32[[#This Row],[Risk Treatment Safeguard Maturity Score]]+tblRiskRegister32[[#This Row],[VCDB Index]],tblHITIndexWeightTable[],4,FALSE),"")</f>
        <v/>
      </c>
      <c r="X31" s="23">
        <f>VLOOKUP(tblRiskRegister32[[#This Row],[Asset Class]],tblInherentImpacts30[],2,FALSE)</f>
        <v>4</v>
      </c>
      <c r="Y31" s="23">
        <f>VLOOKUP(tblRiskRegister32[[#This Row],[Asset Class]],tblInherentImpacts30[],3,FALSE)</f>
        <v>4</v>
      </c>
      <c r="Z31" s="23">
        <f>VLOOKUP(tblRiskRegister32[[#This Row],[Asset Class]],tblInherentImpacts30[],3,FALSE)</f>
        <v>4</v>
      </c>
      <c r="AA31" s="23">
        <f>VLOOKUP(tblRiskRegister32[[#This Row],[Asset Class]],tblInherentImpacts30[],4,FALSE)</f>
        <v>1</v>
      </c>
      <c r="AB31" s="23" t="str">
        <f>IFERROR(MAX(tblRiskRegister32[[#This Row],[Risk Treatment Safeguard Impact to Mission]:[Risk Treatment Safeguard Impact to Obligations]])*tblRiskRegister32[[#This Row],[Risk Treatment
Safeguard Expectancy Score]],"")</f>
        <v/>
      </c>
      <c r="AC31" s="23" t="str">
        <f>IF(tblRiskRegister32[[#This Row],[Risk Score]]&gt;AcceptableRisk,IF(tblRiskRegister32[[#This Row],[Risk Treatment Safeguard Risk Score]]&lt;AcceptableRisk, IF(tblRiskRegister32[[#This Row],[Risk Treatment Safeguard Risk Score]]&lt;=tblRiskRegister32[[#This Row],[Risk Score]],"Yes","No"),"No"),"Yes")</f>
        <v>No</v>
      </c>
      <c r="AD31" s="17"/>
      <c r="AE31" s="17"/>
      <c r="AF31" s="18"/>
    </row>
    <row r="32" spans="2:36" ht="14" hidden="1">
      <c r="B32" s="15" t="s">
        <v>90</v>
      </c>
      <c r="C32" s="50"/>
      <c r="D32" s="50">
        <v>3.9</v>
      </c>
      <c r="E32" s="14" t="s">
        <v>179</v>
      </c>
      <c r="F32" s="15"/>
      <c r="G32" s="15"/>
      <c r="H32" s="16"/>
      <c r="I32" s="24">
        <f>IFERROR(VLOOKUP(tblRiskRegister32[[#This Row],[Asset Class]],tblVCDBIndex[],4,FALSE),"")</f>
        <v>3</v>
      </c>
      <c r="J32" s="24" t="str">
        <f>IFERROR(VLOOKUP(10*tblRiskRegister32[[#This Row],[Safeguard Maturity Score]]+tblRiskRegister32[[#This Row],[VCDB Index]],tblHITIndexWeightTable[],4,FALSE),"")</f>
        <v/>
      </c>
      <c r="K32" s="24">
        <f>VLOOKUP(tblRiskRegister32[[#This Row],[Asset Class]],tblInherentImpacts30[],2,FALSE)</f>
        <v>4</v>
      </c>
      <c r="L32" s="24">
        <f>VLOOKUP(tblRiskRegister32[[#This Row],[Asset Class]],tblInherentImpacts30[],3,FALSE)</f>
        <v>4</v>
      </c>
      <c r="M32" s="24">
        <f>VLOOKUP(tblRiskRegister32[[#This Row],[Asset Class]],tblInherentImpacts30[],4,FALSE)</f>
        <v>1</v>
      </c>
      <c r="N32" s="24">
        <f>VLOOKUP(tblRiskRegister32[[#This Row],[Asset Class]],tblInherentImpacts30[],5,FALSE)</f>
        <v>4</v>
      </c>
      <c r="O32" s="24" t="str">
        <f>IFERROR(MAX(tblRiskRegister32[[#This Row],[Impact to Mission]:[Impact to Obligations]])*tblRiskRegister32[[#This Row],[Expectancy Score]],"")</f>
        <v/>
      </c>
      <c r="P32" s="24" t="str">
        <f>tblRiskRegister32[[#This Row],[Risk Score]]</f>
        <v/>
      </c>
      <c r="Q32" s="50"/>
      <c r="R32" s="50">
        <v>3.9</v>
      </c>
      <c r="S32" s="15" t="s">
        <v>179</v>
      </c>
      <c r="T32" s="15" t="s">
        <v>302</v>
      </c>
      <c r="U32" s="15"/>
      <c r="V32" s="16"/>
      <c r="W32" s="23" t="str">
        <f>IFERROR(VLOOKUP(10*tblRiskRegister32[[#This Row],[Risk Treatment Safeguard Maturity Score]]+tblRiskRegister32[[#This Row],[VCDB Index]],tblHITIndexWeightTable[],4,FALSE),"")</f>
        <v/>
      </c>
      <c r="X32" s="23">
        <f>VLOOKUP(tblRiskRegister32[[#This Row],[Asset Class]],tblInherentImpacts30[],2,FALSE)</f>
        <v>4</v>
      </c>
      <c r="Y32" s="23">
        <f>VLOOKUP(tblRiskRegister32[[#This Row],[Asset Class]],tblInherentImpacts30[],3,FALSE)</f>
        <v>4</v>
      </c>
      <c r="Z32" s="23">
        <f>VLOOKUP(tblRiskRegister32[[#This Row],[Asset Class]],tblInherentImpacts30[],3,FALSE)</f>
        <v>4</v>
      </c>
      <c r="AA32" s="23">
        <f>VLOOKUP(tblRiskRegister32[[#This Row],[Asset Class]],tblInherentImpacts30[],4,FALSE)</f>
        <v>1</v>
      </c>
      <c r="AB32" s="23" t="str">
        <f>IFERROR(MAX(tblRiskRegister32[[#This Row],[Risk Treatment Safeguard Impact to Mission]:[Risk Treatment Safeguard Impact to Obligations]])*tblRiskRegister32[[#This Row],[Risk Treatment
Safeguard Expectancy Score]],"")</f>
        <v/>
      </c>
      <c r="AC32" s="23" t="str">
        <f>IF(tblRiskRegister32[[#This Row],[Risk Score]]&gt;AcceptableRisk,IF(tblRiskRegister32[[#This Row],[Risk Treatment Safeguard Risk Score]]&lt;AcceptableRisk, IF(tblRiskRegister32[[#This Row],[Risk Treatment Safeguard Risk Score]]&lt;=tblRiskRegister32[[#This Row],[Risk Score]],"Yes","No"),"No"),"Yes")</f>
        <v>No</v>
      </c>
      <c r="AD32" s="17"/>
      <c r="AE32" s="17"/>
      <c r="AF32" s="18"/>
    </row>
    <row r="33" spans="2:32" ht="56" hidden="1">
      <c r="B33" s="15" t="s">
        <v>92</v>
      </c>
      <c r="C33" s="50"/>
      <c r="D33" s="50">
        <v>4.0999999999999996</v>
      </c>
      <c r="E33" s="14" t="s">
        <v>48</v>
      </c>
      <c r="F33" s="15"/>
      <c r="G33" s="15"/>
      <c r="H33" s="16"/>
      <c r="I33" s="24">
        <f>IFERROR(VLOOKUP(tblRiskRegister32[[#This Row],[Asset Class]],tblVCDBIndex[],4,FALSE),"")</f>
        <v>2</v>
      </c>
      <c r="J33" s="24" t="str">
        <f>IFERROR(VLOOKUP(10*tblRiskRegister32[[#This Row],[Safeguard Maturity Score]]+tblRiskRegister32[[#This Row],[VCDB Index]],tblHITIndexWeightTable[],4,FALSE),"")</f>
        <v/>
      </c>
      <c r="K33" s="24">
        <f>VLOOKUP(tblRiskRegister32[[#This Row],[Asset Class]],tblInherentImpacts30[],2,FALSE)</f>
        <v>3</v>
      </c>
      <c r="L33" s="24">
        <f>VLOOKUP(tblRiskRegister32[[#This Row],[Asset Class]],tblInherentImpacts30[],3,FALSE)</f>
        <v>4</v>
      </c>
      <c r="M33" s="24">
        <f>VLOOKUP(tblRiskRegister32[[#This Row],[Asset Class]],tblInherentImpacts30[],4,FALSE)</f>
        <v>1</v>
      </c>
      <c r="N33" s="24">
        <f>VLOOKUP(tblRiskRegister32[[#This Row],[Asset Class]],tblInherentImpacts30[],5,FALSE)</f>
        <v>4</v>
      </c>
      <c r="O33" s="24" t="str">
        <f>IFERROR(MAX(tblRiskRegister32[[#This Row],[Impact to Mission]:[Impact to Obligations]])*tblRiskRegister32[[#This Row],[Expectancy Score]],"")</f>
        <v/>
      </c>
      <c r="P33" s="24" t="str">
        <f>tblRiskRegister32[[#This Row],[Risk Score]]</f>
        <v/>
      </c>
      <c r="Q33" s="50"/>
      <c r="R33" s="50">
        <v>4.0999999999999996</v>
      </c>
      <c r="S33" s="15" t="s">
        <v>48</v>
      </c>
      <c r="T33" s="15" t="s">
        <v>306</v>
      </c>
      <c r="U33" s="15"/>
      <c r="V33" s="16"/>
      <c r="W33" s="23" t="str">
        <f>IFERROR(VLOOKUP(10*tblRiskRegister32[[#This Row],[Risk Treatment Safeguard Maturity Score]]+tblRiskRegister32[[#This Row],[VCDB Index]],tblHITIndexWeightTable[],4,FALSE),"")</f>
        <v/>
      </c>
      <c r="X33" s="23">
        <f>VLOOKUP(tblRiskRegister32[[#This Row],[Asset Class]],tblInherentImpacts30[],2,FALSE)</f>
        <v>3</v>
      </c>
      <c r="Y33" s="23">
        <f>VLOOKUP(tblRiskRegister32[[#This Row],[Asset Class]],tblInherentImpacts30[],3,FALSE)</f>
        <v>4</v>
      </c>
      <c r="Z33" s="23">
        <f>VLOOKUP(tblRiskRegister32[[#This Row],[Asset Class]],tblInherentImpacts30[],3,FALSE)</f>
        <v>4</v>
      </c>
      <c r="AA33" s="23">
        <f>VLOOKUP(tblRiskRegister32[[#This Row],[Asset Class]],tblInherentImpacts30[],4,FALSE)</f>
        <v>1</v>
      </c>
      <c r="AB33" s="23" t="str">
        <f>IFERROR(MAX(tblRiskRegister32[[#This Row],[Risk Treatment Safeguard Impact to Mission]:[Risk Treatment Safeguard Impact to Obligations]])*tblRiskRegister32[[#This Row],[Risk Treatment
Safeguard Expectancy Score]],"")</f>
        <v/>
      </c>
      <c r="AC33" s="23" t="str">
        <f>IF(tblRiskRegister32[[#This Row],[Risk Score]]&gt;AcceptableRisk,IF(tblRiskRegister32[[#This Row],[Risk Treatment Safeguard Risk Score]]&lt;AcceptableRisk, IF(tblRiskRegister32[[#This Row],[Risk Treatment Safeguard Risk Score]]&lt;=tblRiskRegister32[[#This Row],[Risk Score]],"Yes","No"),"No"),"Yes")</f>
        <v>No</v>
      </c>
      <c r="AD33" s="17"/>
      <c r="AE33" s="17"/>
      <c r="AF33" s="18"/>
    </row>
    <row r="34" spans="2:32" ht="84.75" customHeight="1">
      <c r="B34" s="15" t="s">
        <v>91</v>
      </c>
      <c r="C34" s="50" t="s">
        <v>520</v>
      </c>
      <c r="D34" s="174">
        <v>4.0999999999999996</v>
      </c>
      <c r="E34" s="14" t="s">
        <v>187</v>
      </c>
      <c r="F34" s="15" t="s">
        <v>542</v>
      </c>
      <c r="G34" s="15" t="s">
        <v>576</v>
      </c>
      <c r="H34" s="16">
        <v>1</v>
      </c>
      <c r="I34" s="24">
        <f>IFERROR(VLOOKUP(tblRiskRegister32[[#This Row],[Asset Class]],tblVCDBIndex[],4,FALSE),"")</f>
        <v>1</v>
      </c>
      <c r="J34" s="24">
        <f>IFERROR(VLOOKUP(10*tblRiskRegister32[[#This Row],[Safeguard Maturity Score]]+tblRiskRegister32[[#This Row],[VCDB Index]],tblHITIndexWeightTable[],4,FALSE),"")</f>
        <v>4</v>
      </c>
      <c r="K34" s="24">
        <f>VLOOKUP(tblRiskRegister32[[#This Row],[Asset Class]],tblInherentImpacts30[],2,FALSE)</f>
        <v>3</v>
      </c>
      <c r="L34" s="24">
        <f>VLOOKUP(tblRiskRegister32[[#This Row],[Asset Class]],tblInherentImpacts30[],3,FALSE)</f>
        <v>3</v>
      </c>
      <c r="M34" s="24">
        <f>VLOOKUP(tblRiskRegister32[[#This Row],[Asset Class]],tblInherentImpacts30[],4,FALSE)</f>
        <v>1</v>
      </c>
      <c r="N34" s="24">
        <f>VLOOKUP(tblRiskRegister32[[#This Row],[Asset Class]],tblInherentImpacts30[],5,FALSE)</f>
        <v>3</v>
      </c>
      <c r="O34" s="24">
        <f>IFERROR(MAX(tblRiskRegister32[[#This Row],[Impact to Mission]:[Impact to Obligations]])*tblRiskRegister32[[#This Row],[Expectancy Score]],"")</f>
        <v>12</v>
      </c>
      <c r="P34" s="24">
        <f>tblRiskRegister32[[#This Row],[Risk Score]]</f>
        <v>12</v>
      </c>
      <c r="Q34" s="50" t="s">
        <v>448</v>
      </c>
      <c r="R34" s="50">
        <v>4.0999999999999996</v>
      </c>
      <c r="S34" s="15" t="s">
        <v>187</v>
      </c>
      <c r="T34" s="15" t="s">
        <v>315</v>
      </c>
      <c r="U34" s="26"/>
      <c r="V34" s="16"/>
      <c r="W34" s="23" t="str">
        <f>IFERROR(VLOOKUP(10*tblRiskRegister32[[#This Row],[Risk Treatment Safeguard Maturity Score]]+tblRiskRegister32[[#This Row],[VCDB Index]],tblHITIndexWeightTable[],4,FALSE),"")</f>
        <v/>
      </c>
      <c r="X34" s="23">
        <f>VLOOKUP(tblRiskRegister32[[#This Row],[Asset Class]],tblInherentImpacts30[],2,FALSE)</f>
        <v>3</v>
      </c>
      <c r="Y34" s="23">
        <f>VLOOKUP(tblRiskRegister32[[#This Row],[Asset Class]],tblInherentImpacts30[],3,FALSE)</f>
        <v>3</v>
      </c>
      <c r="Z34" s="23">
        <f>VLOOKUP(tblRiskRegister32[[#This Row],[Asset Class]],tblInherentImpacts30[],3,FALSE)</f>
        <v>3</v>
      </c>
      <c r="AA34" s="23">
        <f>VLOOKUP(tblRiskRegister32[[#This Row],[Asset Class]],tblInherentImpacts30[],4,FALSE)</f>
        <v>1</v>
      </c>
      <c r="AB34" s="23" t="str">
        <f>IFERROR(MAX(tblRiskRegister32[[#This Row],[Risk Treatment Safeguard Impact to Mission]:[Risk Treatment Safeguard Impact to Obligations]])*tblRiskRegister32[[#This Row],[Risk Treatment
Safeguard Expectancy Score]],"")</f>
        <v/>
      </c>
      <c r="AC34" s="23" t="str">
        <f>IF(tblRiskRegister32[[#This Row],[Risk Score]]&gt;AcceptableRisk,IF(tblRiskRegister32[[#This Row],[Risk Treatment Safeguard Risk Score]]&lt;AcceptableRisk, IF(tblRiskRegister32[[#This Row],[Risk Treatment Safeguard Risk Score]]&lt;=tblRiskRegister32[[#This Row],[Risk Score]],"Yes","No"),"No"),"Yes")</f>
        <v>No</v>
      </c>
      <c r="AD34" s="17"/>
      <c r="AE34" s="17"/>
      <c r="AF34" s="18"/>
    </row>
    <row r="35" spans="2:32" ht="66.75" customHeight="1">
      <c r="B35" s="15" t="s">
        <v>91</v>
      </c>
      <c r="C35" s="50" t="s">
        <v>520</v>
      </c>
      <c r="D35" s="50">
        <v>4.1100000000000003</v>
      </c>
      <c r="E35" s="14" t="s">
        <v>188</v>
      </c>
      <c r="F35" s="15" t="s">
        <v>542</v>
      </c>
      <c r="G35" s="15" t="s">
        <v>577</v>
      </c>
      <c r="H35" s="16">
        <v>1</v>
      </c>
      <c r="I35" s="24">
        <f>IFERROR(VLOOKUP(tblRiskRegister32[[#This Row],[Asset Class]],tblVCDBIndex[],4,FALSE),"")</f>
        <v>1</v>
      </c>
      <c r="J35" s="24">
        <f>IFERROR(VLOOKUP(10*tblRiskRegister32[[#This Row],[Safeguard Maturity Score]]+tblRiskRegister32[[#This Row],[VCDB Index]],tblHITIndexWeightTable[],4,FALSE),"")</f>
        <v>4</v>
      </c>
      <c r="K35" s="24">
        <f>VLOOKUP(tblRiskRegister32[[#This Row],[Asset Class]],tblInherentImpacts30[],2,FALSE)</f>
        <v>3</v>
      </c>
      <c r="L35" s="24">
        <f>VLOOKUP(tblRiskRegister32[[#This Row],[Asset Class]],tblInherentImpacts30[],3,FALSE)</f>
        <v>3</v>
      </c>
      <c r="M35" s="24">
        <f>VLOOKUP(tblRiskRegister32[[#This Row],[Asset Class]],tblInherentImpacts30[],4,FALSE)</f>
        <v>1</v>
      </c>
      <c r="N35" s="24">
        <f>VLOOKUP(tblRiskRegister32[[#This Row],[Asset Class]],tblInherentImpacts30[],5,FALSE)</f>
        <v>3</v>
      </c>
      <c r="O35" s="24">
        <f>IFERROR(MAX(tblRiskRegister32[[#This Row],[Impact to Mission]:[Impact to Obligations]])*tblRiskRegister32[[#This Row],[Expectancy Score]],"")</f>
        <v>12</v>
      </c>
      <c r="P35" s="24">
        <f>tblRiskRegister32[[#This Row],[Risk Score]]</f>
        <v>12</v>
      </c>
      <c r="Q35" s="50" t="s">
        <v>448</v>
      </c>
      <c r="R35" s="50">
        <v>4.1100000000000003</v>
      </c>
      <c r="S35" s="15" t="s">
        <v>188</v>
      </c>
      <c r="T35" s="15" t="s">
        <v>316</v>
      </c>
      <c r="U35" s="26"/>
      <c r="V35" s="16"/>
      <c r="W35" s="23" t="str">
        <f>IFERROR(VLOOKUP(10*tblRiskRegister32[[#This Row],[Risk Treatment Safeguard Maturity Score]]+tblRiskRegister32[[#This Row],[VCDB Index]],tblHITIndexWeightTable[],4,FALSE),"")</f>
        <v/>
      </c>
      <c r="X35" s="23">
        <f>VLOOKUP(tblRiskRegister32[[#This Row],[Asset Class]],tblInherentImpacts30[],2,FALSE)</f>
        <v>3</v>
      </c>
      <c r="Y35" s="23">
        <f>VLOOKUP(tblRiskRegister32[[#This Row],[Asset Class]],tblInherentImpacts30[],3,FALSE)</f>
        <v>3</v>
      </c>
      <c r="Z35" s="23">
        <f>VLOOKUP(tblRiskRegister32[[#This Row],[Asset Class]],tblInherentImpacts30[],3,FALSE)</f>
        <v>3</v>
      </c>
      <c r="AA35" s="23">
        <f>VLOOKUP(tblRiskRegister32[[#This Row],[Asset Class]],tblInherentImpacts30[],4,FALSE)</f>
        <v>1</v>
      </c>
      <c r="AB35" s="23" t="str">
        <f>IFERROR(MAX(tblRiskRegister32[[#This Row],[Risk Treatment Safeguard Impact to Mission]:[Risk Treatment Safeguard Impact to Obligations]])*tblRiskRegister32[[#This Row],[Risk Treatment
Safeguard Expectancy Score]],"")</f>
        <v/>
      </c>
      <c r="AC35" s="23" t="str">
        <f>IF(tblRiskRegister32[[#This Row],[Risk Score]]&gt;AcceptableRisk,IF(tblRiskRegister32[[#This Row],[Risk Treatment Safeguard Risk Score]]&lt;AcceptableRisk, IF(tblRiskRegister32[[#This Row],[Risk Treatment Safeguard Risk Score]]&lt;=tblRiskRegister32[[#This Row],[Risk Score]],"Yes","No"),"No"),"Yes")</f>
        <v>No</v>
      </c>
      <c r="AD35" s="17"/>
      <c r="AE35" s="17"/>
      <c r="AF35" s="18"/>
    </row>
    <row r="36" spans="2:32" ht="42" hidden="1">
      <c r="B36" s="15" t="s">
        <v>93</v>
      </c>
      <c r="C36" s="50"/>
      <c r="D36" s="50">
        <v>4.2</v>
      </c>
      <c r="E36" s="14" t="s">
        <v>49</v>
      </c>
      <c r="F36" s="15"/>
      <c r="G36" s="15"/>
      <c r="H36" s="16"/>
      <c r="I36" s="24">
        <f>IFERROR(VLOOKUP(tblRiskRegister32[[#This Row],[Asset Class]],tblVCDBIndex[],4,FALSE),"")</f>
        <v>1</v>
      </c>
      <c r="J36" s="24" t="str">
        <f>IFERROR(VLOOKUP(10*tblRiskRegister32[[#This Row],[Safeguard Maturity Score]]+tblRiskRegister32[[#This Row],[VCDB Index]],tblHITIndexWeightTable[],4,FALSE),"")</f>
        <v/>
      </c>
      <c r="K36" s="24">
        <f>VLOOKUP(tblRiskRegister32[[#This Row],[Asset Class]],tblInherentImpacts30[],2,FALSE)</f>
        <v>4</v>
      </c>
      <c r="L36" s="24">
        <f>VLOOKUP(tblRiskRegister32[[#This Row],[Asset Class]],tblInherentImpacts30[],3,FALSE)</f>
        <v>5</v>
      </c>
      <c r="M36" s="24">
        <f>VLOOKUP(tblRiskRegister32[[#This Row],[Asset Class]],tblInherentImpacts30[],4,FALSE)</f>
        <v>1</v>
      </c>
      <c r="N36" s="24">
        <f>VLOOKUP(tblRiskRegister32[[#This Row],[Asset Class]],tblInherentImpacts30[],5,FALSE)</f>
        <v>5</v>
      </c>
      <c r="O36" s="24" t="str">
        <f>IFERROR(MAX(tblRiskRegister32[[#This Row],[Impact to Mission]:[Impact to Obligations]])*tblRiskRegister32[[#This Row],[Expectancy Score]],"")</f>
        <v/>
      </c>
      <c r="P36" s="24" t="str">
        <f>tblRiskRegister32[[#This Row],[Risk Score]]</f>
        <v/>
      </c>
      <c r="Q36" s="50"/>
      <c r="R36" s="50">
        <v>4.2</v>
      </c>
      <c r="S36" s="15" t="s">
        <v>49</v>
      </c>
      <c r="T36" s="15" t="s">
        <v>307</v>
      </c>
      <c r="U36" s="26"/>
      <c r="V36" s="16"/>
      <c r="W36" s="23" t="str">
        <f>IFERROR(VLOOKUP(10*tblRiskRegister32[[#This Row],[Risk Treatment Safeguard Maturity Score]]+tblRiskRegister32[[#This Row],[VCDB Index]],tblHITIndexWeightTable[],4,FALSE),"")</f>
        <v/>
      </c>
      <c r="X36" s="23">
        <f>VLOOKUP(tblRiskRegister32[[#This Row],[Asset Class]],tblInherentImpacts30[],2,FALSE)</f>
        <v>4</v>
      </c>
      <c r="Y36" s="23">
        <f>VLOOKUP(tblRiskRegister32[[#This Row],[Asset Class]],tblInherentImpacts30[],3,FALSE)</f>
        <v>5</v>
      </c>
      <c r="Z36" s="23">
        <f>VLOOKUP(tblRiskRegister32[[#This Row],[Asset Class]],tblInherentImpacts30[],3,FALSE)</f>
        <v>5</v>
      </c>
      <c r="AA36" s="23">
        <f>VLOOKUP(tblRiskRegister32[[#This Row],[Asset Class]],tblInherentImpacts30[],4,FALSE)</f>
        <v>1</v>
      </c>
      <c r="AB36" s="23" t="str">
        <f>IFERROR(MAX(tblRiskRegister32[[#This Row],[Risk Treatment Safeguard Impact to Mission]:[Risk Treatment Safeguard Impact to Obligations]])*tblRiskRegister32[[#This Row],[Risk Treatment
Safeguard Expectancy Score]],"")</f>
        <v/>
      </c>
      <c r="AC36" s="23" t="str">
        <f>IF(tblRiskRegister32[[#This Row],[Risk Score]]&gt;AcceptableRisk,IF(tblRiskRegister32[[#This Row],[Risk Treatment Safeguard Risk Score]]&lt;AcceptableRisk, IF(tblRiskRegister32[[#This Row],[Risk Treatment Safeguard Risk Score]]&lt;=tblRiskRegister32[[#This Row],[Risk Score]],"Yes","No"),"No"),"Yes")</f>
        <v>No</v>
      </c>
      <c r="AD36" s="17"/>
      <c r="AE36" s="17"/>
      <c r="AF36" s="18"/>
    </row>
    <row r="37" spans="2:32" ht="56">
      <c r="B37" s="15" t="s">
        <v>94</v>
      </c>
      <c r="C37" s="50" t="s">
        <v>520</v>
      </c>
      <c r="D37" s="50">
        <v>4.3</v>
      </c>
      <c r="E37" s="14" t="s">
        <v>50</v>
      </c>
      <c r="F37" s="15" t="s">
        <v>546</v>
      </c>
      <c r="G37" s="15" t="s">
        <v>575</v>
      </c>
      <c r="H37" s="16">
        <v>5</v>
      </c>
      <c r="I37" s="24">
        <f>IFERROR(VLOOKUP(tblRiskRegister32[[#This Row],[Asset Class]],tblVCDBIndex[],4,FALSE),"")</f>
        <v>3</v>
      </c>
      <c r="J37" s="24">
        <f>IFERROR(VLOOKUP(10*tblRiskRegister32[[#This Row],[Safeguard Maturity Score]]+tblRiskRegister32[[#This Row],[VCDB Index]],tblHITIndexWeightTable[],4,FALSE),"")</f>
        <v>1</v>
      </c>
      <c r="K37" s="24">
        <f>VLOOKUP(tblRiskRegister32[[#This Row],[Asset Class]],tblInherentImpacts30[],2,FALSE)</f>
        <v>5</v>
      </c>
      <c r="L37" s="24">
        <f>VLOOKUP(tblRiskRegister32[[#This Row],[Asset Class]],tblInherentImpacts30[],3,FALSE)</f>
        <v>5</v>
      </c>
      <c r="M37" s="24">
        <f>VLOOKUP(tblRiskRegister32[[#This Row],[Asset Class]],tblInherentImpacts30[],4,FALSE)</f>
        <v>1</v>
      </c>
      <c r="N37" s="24">
        <f>VLOOKUP(tblRiskRegister32[[#This Row],[Asset Class]],tblInherentImpacts30[],5,FALSE)</f>
        <v>5</v>
      </c>
      <c r="O37" s="24">
        <f>IFERROR(MAX(tblRiskRegister32[[#This Row],[Impact to Mission]:[Impact to Obligations]])*tblRiskRegister32[[#This Row],[Expectancy Score]],"")</f>
        <v>5</v>
      </c>
      <c r="P37" s="24">
        <f>tblRiskRegister32[[#This Row],[Risk Score]]</f>
        <v>5</v>
      </c>
      <c r="Q37" s="50" t="s">
        <v>449</v>
      </c>
      <c r="R37" s="50">
        <v>4.3</v>
      </c>
      <c r="S37" s="15" t="s">
        <v>50</v>
      </c>
      <c r="T37" s="15" t="s">
        <v>308</v>
      </c>
      <c r="U37" s="26"/>
      <c r="V37" s="16"/>
      <c r="W37" s="23" t="str">
        <f>IFERROR(VLOOKUP(10*tblRiskRegister32[[#This Row],[Risk Treatment Safeguard Maturity Score]]+tblRiskRegister32[[#This Row],[VCDB Index]],tblHITIndexWeightTable[],4,FALSE),"")</f>
        <v/>
      </c>
      <c r="X37" s="23">
        <f>VLOOKUP(tblRiskRegister32[[#This Row],[Asset Class]],tblInherentImpacts30[],2,FALSE)</f>
        <v>5</v>
      </c>
      <c r="Y37" s="23">
        <f>VLOOKUP(tblRiskRegister32[[#This Row],[Asset Class]],tblInherentImpacts30[],3,FALSE)</f>
        <v>5</v>
      </c>
      <c r="Z37" s="23">
        <f>VLOOKUP(tblRiskRegister32[[#This Row],[Asset Class]],tblInherentImpacts30[],3,FALSE)</f>
        <v>5</v>
      </c>
      <c r="AA37" s="23">
        <f>VLOOKUP(tblRiskRegister32[[#This Row],[Asset Class]],tblInherentImpacts30[],4,FALSE)</f>
        <v>1</v>
      </c>
      <c r="AB37" s="23" t="str">
        <f>IFERROR(MAX(tblRiskRegister32[[#This Row],[Risk Treatment Safeguard Impact to Mission]:[Risk Treatment Safeguard Impact to Obligations]])*tblRiskRegister32[[#This Row],[Risk Treatment
Safeguard Expectancy Score]],"")</f>
        <v/>
      </c>
      <c r="AC37" s="23" t="str">
        <f>IF(tblRiskRegister32[[#This Row],[Risk Score]]&gt;AcceptableRisk,IF(tblRiskRegister32[[#This Row],[Risk Treatment Safeguard Risk Score]]&lt;AcceptableRisk, IF(tblRiskRegister32[[#This Row],[Risk Treatment Safeguard Risk Score]]&lt;=tblRiskRegister32[[#This Row],[Risk Score]],"Yes","No"),"No"),"Yes")</f>
        <v>Yes</v>
      </c>
      <c r="AD37" s="17"/>
      <c r="AE37" s="17"/>
      <c r="AF37" s="18"/>
    </row>
    <row r="38" spans="2:32" ht="28" hidden="1">
      <c r="B38" s="15" t="s">
        <v>91</v>
      </c>
      <c r="C38" s="50"/>
      <c r="D38" s="50">
        <v>4.4000000000000004</v>
      </c>
      <c r="E38" s="14" t="s">
        <v>51</v>
      </c>
      <c r="F38" s="15"/>
      <c r="G38" s="15"/>
      <c r="H38" s="16"/>
      <c r="I38" s="24">
        <f>IFERROR(VLOOKUP(tblRiskRegister32[[#This Row],[Asset Class]],tblVCDBIndex[],4,FALSE),"")</f>
        <v>1</v>
      </c>
      <c r="J38" s="24" t="str">
        <f>IFERROR(VLOOKUP(10*tblRiskRegister32[[#This Row],[Safeguard Maturity Score]]+tblRiskRegister32[[#This Row],[VCDB Index]],tblHITIndexWeightTable[],4,FALSE),"")</f>
        <v/>
      </c>
      <c r="K38" s="24">
        <f>VLOOKUP(tblRiskRegister32[[#This Row],[Asset Class]],tblInherentImpacts30[],2,FALSE)</f>
        <v>3</v>
      </c>
      <c r="L38" s="24">
        <f>VLOOKUP(tblRiskRegister32[[#This Row],[Asset Class]],tblInherentImpacts30[],3,FALSE)</f>
        <v>3</v>
      </c>
      <c r="M38" s="24">
        <f>VLOOKUP(tblRiskRegister32[[#This Row],[Asset Class]],tblInherentImpacts30[],4,FALSE)</f>
        <v>1</v>
      </c>
      <c r="N38" s="24">
        <f>VLOOKUP(tblRiskRegister32[[#This Row],[Asset Class]],tblInherentImpacts30[],5,FALSE)</f>
        <v>3</v>
      </c>
      <c r="O38" s="24" t="str">
        <f>IFERROR(MAX(tblRiskRegister32[[#This Row],[Impact to Mission]:[Impact to Obligations]])*tblRiskRegister32[[#This Row],[Expectancy Score]],"")</f>
        <v/>
      </c>
      <c r="P38" s="24" t="str">
        <f>tblRiskRegister32[[#This Row],[Risk Score]]</f>
        <v/>
      </c>
      <c r="Q38" s="50"/>
      <c r="R38" s="50">
        <v>4.4000000000000004</v>
      </c>
      <c r="S38" s="15" t="s">
        <v>51</v>
      </c>
      <c r="T38" s="15" t="s">
        <v>309</v>
      </c>
      <c r="U38" s="26"/>
      <c r="V38" s="16"/>
      <c r="W38" s="23" t="str">
        <f>IFERROR(VLOOKUP(10*tblRiskRegister32[[#This Row],[Risk Treatment Safeguard Maturity Score]]+tblRiskRegister32[[#This Row],[VCDB Index]],tblHITIndexWeightTable[],4,FALSE),"")</f>
        <v/>
      </c>
      <c r="X38" s="23">
        <f>VLOOKUP(tblRiskRegister32[[#This Row],[Asset Class]],tblInherentImpacts30[],2,FALSE)</f>
        <v>3</v>
      </c>
      <c r="Y38" s="23">
        <f>VLOOKUP(tblRiskRegister32[[#This Row],[Asset Class]],tblInherentImpacts30[],3,FALSE)</f>
        <v>3</v>
      </c>
      <c r="Z38" s="23">
        <f>VLOOKUP(tblRiskRegister32[[#This Row],[Asset Class]],tblInherentImpacts30[],3,FALSE)</f>
        <v>3</v>
      </c>
      <c r="AA38" s="23">
        <f>VLOOKUP(tblRiskRegister32[[#This Row],[Asset Class]],tblInherentImpacts30[],4,FALSE)</f>
        <v>1</v>
      </c>
      <c r="AB38" s="23" t="str">
        <f>IFERROR(MAX(tblRiskRegister32[[#This Row],[Risk Treatment Safeguard Impact to Mission]:[Risk Treatment Safeguard Impact to Obligations]])*tblRiskRegister32[[#This Row],[Risk Treatment
Safeguard Expectancy Score]],"")</f>
        <v/>
      </c>
      <c r="AC38" s="23" t="str">
        <f>IF(tblRiskRegister32[[#This Row],[Risk Score]]&gt;AcceptableRisk,IF(tblRiskRegister32[[#This Row],[Risk Treatment Safeguard Risk Score]]&lt;AcceptableRisk, IF(tblRiskRegister32[[#This Row],[Risk Treatment Safeguard Risk Score]]&lt;=tblRiskRegister32[[#This Row],[Risk Score]],"Yes","No"),"No"),"Yes")</f>
        <v>No</v>
      </c>
      <c r="AD38" s="17"/>
      <c r="AE38" s="17"/>
      <c r="AF38" s="18"/>
    </row>
    <row r="39" spans="2:32" ht="56">
      <c r="B39" s="15" t="s">
        <v>91</v>
      </c>
      <c r="C39" s="50" t="s">
        <v>520</v>
      </c>
      <c r="D39" s="50">
        <v>4.5</v>
      </c>
      <c r="E39" s="14" t="s">
        <v>52</v>
      </c>
      <c r="F39" s="15" t="s">
        <v>547</v>
      </c>
      <c r="G39" s="15" t="s">
        <v>575</v>
      </c>
      <c r="H39" s="16">
        <v>5</v>
      </c>
      <c r="I39" s="24">
        <f>IFERROR(VLOOKUP(tblRiskRegister32[[#This Row],[Asset Class]],tblVCDBIndex[],4,FALSE),"")</f>
        <v>1</v>
      </c>
      <c r="J39" s="24">
        <f>IFERROR(VLOOKUP(10*tblRiskRegister32[[#This Row],[Safeguard Maturity Score]]+tblRiskRegister32[[#This Row],[VCDB Index]],tblHITIndexWeightTable[],4,FALSE),"")</f>
        <v>1</v>
      </c>
      <c r="K39" s="24">
        <f>VLOOKUP(tblRiskRegister32[[#This Row],[Asset Class]],tblInherentImpacts30[],2,FALSE)</f>
        <v>3</v>
      </c>
      <c r="L39" s="24">
        <f>VLOOKUP(tblRiskRegister32[[#This Row],[Asset Class]],tblInherentImpacts30[],3,FALSE)</f>
        <v>3</v>
      </c>
      <c r="M39" s="24">
        <f>VLOOKUP(tblRiskRegister32[[#This Row],[Asset Class]],tblInherentImpacts30[],4,FALSE)</f>
        <v>1</v>
      </c>
      <c r="N39" s="24">
        <f>VLOOKUP(tblRiskRegister32[[#This Row],[Asset Class]],tblInherentImpacts30[],5,FALSE)</f>
        <v>3</v>
      </c>
      <c r="O39" s="24">
        <f>IFERROR(MAX(tblRiskRegister32[[#This Row],[Impact to Mission]:[Impact to Obligations]])*tblRiskRegister32[[#This Row],[Expectancy Score]],"")</f>
        <v>3</v>
      </c>
      <c r="P39" s="24">
        <f>tblRiskRegister32[[#This Row],[Risk Score]]</f>
        <v>3</v>
      </c>
      <c r="Q39" s="50" t="s">
        <v>449</v>
      </c>
      <c r="R39" s="50">
        <v>4.5</v>
      </c>
      <c r="S39" s="15" t="s">
        <v>52</v>
      </c>
      <c r="T39" s="15" t="s">
        <v>310</v>
      </c>
      <c r="U39" s="26"/>
      <c r="V39" s="16"/>
      <c r="W39" s="23" t="str">
        <f>IFERROR(VLOOKUP(10*tblRiskRegister32[[#This Row],[Risk Treatment Safeguard Maturity Score]]+tblRiskRegister32[[#This Row],[VCDB Index]],tblHITIndexWeightTable[],4,FALSE),"")</f>
        <v/>
      </c>
      <c r="X39" s="23">
        <f>VLOOKUP(tblRiskRegister32[[#This Row],[Asset Class]],tblInherentImpacts30[],2,FALSE)</f>
        <v>3</v>
      </c>
      <c r="Y39" s="23">
        <f>VLOOKUP(tblRiskRegister32[[#This Row],[Asset Class]],tblInherentImpacts30[],3,FALSE)</f>
        <v>3</v>
      </c>
      <c r="Z39" s="23">
        <f>VLOOKUP(tblRiskRegister32[[#This Row],[Asset Class]],tblInherentImpacts30[],3,FALSE)</f>
        <v>3</v>
      </c>
      <c r="AA39" s="23">
        <f>VLOOKUP(tblRiskRegister32[[#This Row],[Asset Class]],tblInherentImpacts30[],4,FALSE)</f>
        <v>1</v>
      </c>
      <c r="AB39" s="23" t="str">
        <f>IFERROR(MAX(tblRiskRegister32[[#This Row],[Risk Treatment Safeguard Impact to Mission]:[Risk Treatment Safeguard Impact to Obligations]])*tblRiskRegister32[[#This Row],[Risk Treatment
Safeguard Expectancy Score]],"")</f>
        <v/>
      </c>
      <c r="AC39" s="23" t="str">
        <f>IF(tblRiskRegister32[[#This Row],[Risk Score]]&gt;AcceptableRisk,IF(tblRiskRegister32[[#This Row],[Risk Treatment Safeguard Risk Score]]&lt;AcceptableRisk, IF(tblRiskRegister32[[#This Row],[Risk Treatment Safeguard Risk Score]]&lt;=tblRiskRegister32[[#This Row],[Risk Score]],"Yes","No"),"No"),"Yes")</f>
        <v>Yes</v>
      </c>
      <c r="AD39" s="17"/>
      <c r="AE39" s="17"/>
      <c r="AF39" s="18"/>
    </row>
    <row r="40" spans="2:32" ht="134" customHeight="1">
      <c r="B40" s="15" t="s">
        <v>93</v>
      </c>
      <c r="C40" s="50" t="s">
        <v>520</v>
      </c>
      <c r="D40" s="50">
        <v>4.5999999999999996</v>
      </c>
      <c r="E40" s="14" t="s">
        <v>53</v>
      </c>
      <c r="F40" s="15" t="s">
        <v>548</v>
      </c>
      <c r="G40" s="15" t="s">
        <v>575</v>
      </c>
      <c r="H40" s="16">
        <v>3</v>
      </c>
      <c r="I40" s="24">
        <f>IFERROR(VLOOKUP(tblRiskRegister32[[#This Row],[Asset Class]],tblVCDBIndex[],4,FALSE),"")</f>
        <v>1</v>
      </c>
      <c r="J40" s="24">
        <f>IFERROR(VLOOKUP(10*tblRiskRegister32[[#This Row],[Safeguard Maturity Score]]+tblRiskRegister32[[#This Row],[VCDB Index]],tblHITIndexWeightTable[],4,FALSE),"")</f>
        <v>1</v>
      </c>
      <c r="K40" s="24">
        <f>VLOOKUP(tblRiskRegister32[[#This Row],[Asset Class]],tblInherentImpacts30[],2,FALSE)</f>
        <v>4</v>
      </c>
      <c r="L40" s="24">
        <f>VLOOKUP(tblRiskRegister32[[#This Row],[Asset Class]],tblInherentImpacts30[],3,FALSE)</f>
        <v>5</v>
      </c>
      <c r="M40" s="24">
        <f>VLOOKUP(tblRiskRegister32[[#This Row],[Asset Class]],tblInherentImpacts30[],4,FALSE)</f>
        <v>1</v>
      </c>
      <c r="N40" s="24">
        <f>VLOOKUP(tblRiskRegister32[[#This Row],[Asset Class]],tblInherentImpacts30[],5,FALSE)</f>
        <v>5</v>
      </c>
      <c r="O40" s="24">
        <f>IFERROR(MAX(tblRiskRegister32[[#This Row],[Impact to Mission]:[Impact to Obligations]])*tblRiskRegister32[[#This Row],[Expectancy Score]],"")</f>
        <v>5</v>
      </c>
      <c r="P40" s="24">
        <f>tblRiskRegister32[[#This Row],[Risk Score]]</f>
        <v>5</v>
      </c>
      <c r="Q40" s="50" t="s">
        <v>449</v>
      </c>
      <c r="R40" s="50">
        <v>4.5999999999999996</v>
      </c>
      <c r="S40" s="15" t="s">
        <v>53</v>
      </c>
      <c r="T40" s="15" t="s">
        <v>311</v>
      </c>
      <c r="U40" s="26"/>
      <c r="V40" s="16"/>
      <c r="W40" s="23" t="str">
        <f>IFERROR(VLOOKUP(10*tblRiskRegister32[[#This Row],[Risk Treatment Safeguard Maturity Score]]+tblRiskRegister32[[#This Row],[VCDB Index]],tblHITIndexWeightTable[],4,FALSE),"")</f>
        <v/>
      </c>
      <c r="X40" s="23">
        <f>VLOOKUP(tblRiskRegister32[[#This Row],[Asset Class]],tblInherentImpacts30[],2,FALSE)</f>
        <v>4</v>
      </c>
      <c r="Y40" s="23">
        <f>VLOOKUP(tblRiskRegister32[[#This Row],[Asset Class]],tblInherentImpacts30[],3,FALSE)</f>
        <v>5</v>
      </c>
      <c r="Z40" s="23">
        <f>VLOOKUP(tblRiskRegister32[[#This Row],[Asset Class]],tblInherentImpacts30[],3,FALSE)</f>
        <v>5</v>
      </c>
      <c r="AA40" s="23">
        <f>VLOOKUP(tblRiskRegister32[[#This Row],[Asset Class]],tblInherentImpacts30[],4,FALSE)</f>
        <v>1</v>
      </c>
      <c r="AB40" s="23" t="str">
        <f>IFERROR(MAX(tblRiskRegister32[[#This Row],[Risk Treatment Safeguard Impact to Mission]:[Risk Treatment Safeguard Impact to Obligations]])*tblRiskRegister32[[#This Row],[Risk Treatment
Safeguard Expectancy Score]],"")</f>
        <v/>
      </c>
      <c r="AC40" s="23" t="str">
        <f>IF(tblRiskRegister32[[#This Row],[Risk Score]]&gt;AcceptableRisk,IF(tblRiskRegister32[[#This Row],[Risk Treatment Safeguard Risk Score]]&lt;AcceptableRisk, IF(tblRiskRegister32[[#This Row],[Risk Treatment Safeguard Risk Score]]&lt;=tblRiskRegister32[[#This Row],[Risk Score]],"Yes","No"),"No"),"Yes")</f>
        <v>Yes</v>
      </c>
      <c r="AD40" s="17"/>
      <c r="AE40" s="17"/>
      <c r="AF40" s="18"/>
    </row>
    <row r="41" spans="2:32" ht="42">
      <c r="B41" s="15" t="s">
        <v>94</v>
      </c>
      <c r="C41" s="50" t="s">
        <v>520</v>
      </c>
      <c r="D41" s="50">
        <v>4.7</v>
      </c>
      <c r="E41" s="14" t="s">
        <v>54</v>
      </c>
      <c r="F41" s="15" t="s">
        <v>549</v>
      </c>
      <c r="G41" s="15" t="s">
        <v>575</v>
      </c>
      <c r="H41" s="16">
        <v>5</v>
      </c>
      <c r="I41" s="24">
        <f>IFERROR(VLOOKUP(tblRiskRegister32[[#This Row],[Asset Class]],tblVCDBIndex[],4,FALSE),"")</f>
        <v>3</v>
      </c>
      <c r="J41" s="24">
        <f>IFERROR(VLOOKUP(10*tblRiskRegister32[[#This Row],[Safeguard Maturity Score]]+tblRiskRegister32[[#This Row],[VCDB Index]],tblHITIndexWeightTable[],4,FALSE),"")</f>
        <v>1</v>
      </c>
      <c r="K41" s="24">
        <f>VLOOKUP(tblRiskRegister32[[#This Row],[Asset Class]],tblInherentImpacts30[],2,FALSE)</f>
        <v>5</v>
      </c>
      <c r="L41" s="24">
        <f>VLOOKUP(tblRiskRegister32[[#This Row],[Asset Class]],tblInherentImpacts30[],3,FALSE)</f>
        <v>5</v>
      </c>
      <c r="M41" s="24">
        <f>VLOOKUP(tblRiskRegister32[[#This Row],[Asset Class]],tblInherentImpacts30[],4,FALSE)</f>
        <v>1</v>
      </c>
      <c r="N41" s="24">
        <f>VLOOKUP(tblRiskRegister32[[#This Row],[Asset Class]],tblInherentImpacts30[],5,FALSE)</f>
        <v>5</v>
      </c>
      <c r="O41" s="24">
        <f>IFERROR(MAX(tblRiskRegister32[[#This Row],[Impact to Mission]:[Impact to Obligations]])*tblRiskRegister32[[#This Row],[Expectancy Score]],"")</f>
        <v>5</v>
      </c>
      <c r="P41" s="24">
        <f>tblRiskRegister32[[#This Row],[Risk Score]]</f>
        <v>5</v>
      </c>
      <c r="Q41" s="50" t="s">
        <v>449</v>
      </c>
      <c r="R41" s="50">
        <v>4.7</v>
      </c>
      <c r="S41" s="15" t="s">
        <v>54</v>
      </c>
      <c r="T41" s="15" t="s">
        <v>312</v>
      </c>
      <c r="U41" s="26"/>
      <c r="V41" s="16"/>
      <c r="W41" s="23" t="str">
        <f>IFERROR(VLOOKUP(10*tblRiskRegister32[[#This Row],[Risk Treatment Safeguard Maturity Score]]+tblRiskRegister32[[#This Row],[VCDB Index]],tblHITIndexWeightTable[],4,FALSE),"")</f>
        <v/>
      </c>
      <c r="X41" s="23">
        <f>VLOOKUP(tblRiskRegister32[[#This Row],[Asset Class]],tblInherentImpacts30[],2,FALSE)</f>
        <v>5</v>
      </c>
      <c r="Y41" s="23">
        <f>VLOOKUP(tblRiskRegister32[[#This Row],[Asset Class]],tblInherentImpacts30[],3,FALSE)</f>
        <v>5</v>
      </c>
      <c r="Z41" s="23">
        <f>VLOOKUP(tblRiskRegister32[[#This Row],[Asset Class]],tblInherentImpacts30[],3,FALSE)</f>
        <v>5</v>
      </c>
      <c r="AA41" s="23">
        <f>VLOOKUP(tblRiskRegister32[[#This Row],[Asset Class]],tblInherentImpacts30[],4,FALSE)</f>
        <v>1</v>
      </c>
      <c r="AB41" s="23" t="str">
        <f>IFERROR(MAX(tblRiskRegister32[[#This Row],[Risk Treatment Safeguard Impact to Mission]:[Risk Treatment Safeguard Impact to Obligations]])*tblRiskRegister32[[#This Row],[Risk Treatment
Safeguard Expectancy Score]],"")</f>
        <v/>
      </c>
      <c r="AC41" s="23" t="str">
        <f>IF(tblRiskRegister32[[#This Row],[Risk Score]]&gt;AcceptableRisk,IF(tblRiskRegister32[[#This Row],[Risk Treatment Safeguard Risk Score]]&lt;AcceptableRisk, IF(tblRiskRegister32[[#This Row],[Risk Treatment Safeguard Risk Score]]&lt;=tblRiskRegister32[[#This Row],[Risk Score]],"Yes","No"),"No"),"Yes")</f>
        <v>Yes</v>
      </c>
      <c r="AD41" s="17"/>
      <c r="AE41" s="17"/>
      <c r="AF41" s="18"/>
    </row>
    <row r="42" spans="2:32" ht="56">
      <c r="B42" s="15" t="s">
        <v>91</v>
      </c>
      <c r="C42" s="50" t="s">
        <v>520</v>
      </c>
      <c r="D42" s="50">
        <v>4.8</v>
      </c>
      <c r="E42" s="14" t="s">
        <v>185</v>
      </c>
      <c r="F42" s="15" t="s">
        <v>550</v>
      </c>
      <c r="G42" s="15" t="s">
        <v>575</v>
      </c>
      <c r="H42" s="16">
        <v>3</v>
      </c>
      <c r="I42" s="24">
        <f>IFERROR(VLOOKUP(tblRiskRegister32[[#This Row],[Asset Class]],tblVCDBIndex[],4,FALSE),"")</f>
        <v>1</v>
      </c>
      <c r="J42" s="24">
        <f>IFERROR(VLOOKUP(10*tblRiskRegister32[[#This Row],[Safeguard Maturity Score]]+tblRiskRegister32[[#This Row],[VCDB Index]],tblHITIndexWeightTable[],4,FALSE),"")</f>
        <v>1</v>
      </c>
      <c r="K42" s="24">
        <f>VLOOKUP(tblRiskRegister32[[#This Row],[Asset Class]],tblInherentImpacts30[],2,FALSE)</f>
        <v>3</v>
      </c>
      <c r="L42" s="24">
        <f>VLOOKUP(tblRiskRegister32[[#This Row],[Asset Class]],tblInherentImpacts30[],3,FALSE)</f>
        <v>3</v>
      </c>
      <c r="M42" s="24">
        <f>VLOOKUP(tblRiskRegister32[[#This Row],[Asset Class]],tblInherentImpacts30[],4,FALSE)</f>
        <v>1</v>
      </c>
      <c r="N42" s="24">
        <f>VLOOKUP(tblRiskRegister32[[#This Row],[Asset Class]],tblInherentImpacts30[],5,FALSE)</f>
        <v>3</v>
      </c>
      <c r="O42" s="24">
        <f>IFERROR(MAX(tblRiskRegister32[[#This Row],[Impact to Mission]:[Impact to Obligations]])*tblRiskRegister32[[#This Row],[Expectancy Score]],"")</f>
        <v>3</v>
      </c>
      <c r="P42" s="24">
        <f>tblRiskRegister32[[#This Row],[Risk Score]]</f>
        <v>3</v>
      </c>
      <c r="Q42" s="50" t="s">
        <v>449</v>
      </c>
      <c r="R42" s="50">
        <v>4.8</v>
      </c>
      <c r="S42" s="15" t="s">
        <v>185</v>
      </c>
      <c r="T42" s="15" t="s">
        <v>313</v>
      </c>
      <c r="U42" s="26"/>
      <c r="V42" s="16"/>
      <c r="W42" s="23" t="str">
        <f>IFERROR(VLOOKUP(10*tblRiskRegister32[[#This Row],[Risk Treatment Safeguard Maturity Score]]+tblRiskRegister32[[#This Row],[VCDB Index]],tblHITIndexWeightTable[],4,FALSE),"")</f>
        <v/>
      </c>
      <c r="X42" s="23">
        <f>VLOOKUP(tblRiskRegister32[[#This Row],[Asset Class]],tblInherentImpacts30[],2,FALSE)</f>
        <v>3</v>
      </c>
      <c r="Y42" s="23">
        <f>VLOOKUP(tblRiskRegister32[[#This Row],[Asset Class]],tblInherentImpacts30[],3,FALSE)</f>
        <v>3</v>
      </c>
      <c r="Z42" s="23">
        <f>VLOOKUP(tblRiskRegister32[[#This Row],[Asset Class]],tblInherentImpacts30[],3,FALSE)</f>
        <v>3</v>
      </c>
      <c r="AA42" s="23">
        <f>VLOOKUP(tblRiskRegister32[[#This Row],[Asset Class]],tblInherentImpacts30[],4,FALSE)</f>
        <v>1</v>
      </c>
      <c r="AB42" s="23" t="str">
        <f>IFERROR(MAX(tblRiskRegister32[[#This Row],[Risk Treatment Safeguard Impact to Mission]:[Risk Treatment Safeguard Impact to Obligations]])*tblRiskRegister32[[#This Row],[Risk Treatment
Safeguard Expectancy Score]],"")</f>
        <v/>
      </c>
      <c r="AC42" s="23" t="str">
        <f>IF(tblRiskRegister32[[#This Row],[Risk Score]]&gt;AcceptableRisk,IF(tblRiskRegister32[[#This Row],[Risk Treatment Safeguard Risk Score]]&lt;AcceptableRisk, IF(tblRiskRegister32[[#This Row],[Risk Treatment Safeguard Risk Score]]&lt;=tblRiskRegister32[[#This Row],[Risk Score]],"Yes","No"),"No"),"Yes")</f>
        <v>Yes</v>
      </c>
      <c r="AD42" s="17"/>
      <c r="AE42" s="17"/>
      <c r="AF42" s="18"/>
    </row>
    <row r="43" spans="2:32" ht="42" hidden="1">
      <c r="B43" s="15" t="s">
        <v>91</v>
      </c>
      <c r="C43" s="50"/>
      <c r="D43" s="50">
        <v>4.9000000000000004</v>
      </c>
      <c r="E43" s="14" t="s">
        <v>186</v>
      </c>
      <c r="F43" s="15"/>
      <c r="G43" s="15"/>
      <c r="H43" s="16"/>
      <c r="I43" s="24">
        <f>IFERROR(VLOOKUP(tblRiskRegister32[[#This Row],[Asset Class]],tblVCDBIndex[],4,FALSE),"")</f>
        <v>1</v>
      </c>
      <c r="J43" s="24" t="str">
        <f>IFERROR(VLOOKUP(10*tblRiskRegister32[[#This Row],[Safeguard Maturity Score]]+tblRiskRegister32[[#This Row],[VCDB Index]],tblHITIndexWeightTable[],4,FALSE),"")</f>
        <v/>
      </c>
      <c r="K43" s="24">
        <f>VLOOKUP(tblRiskRegister32[[#This Row],[Asset Class]],tblInherentImpacts30[],2,FALSE)</f>
        <v>3</v>
      </c>
      <c r="L43" s="24">
        <f>VLOOKUP(tblRiskRegister32[[#This Row],[Asset Class]],tblInherentImpacts30[],3,FALSE)</f>
        <v>3</v>
      </c>
      <c r="M43" s="24">
        <f>VLOOKUP(tblRiskRegister32[[#This Row],[Asset Class]],tblInherentImpacts30[],4,FALSE)</f>
        <v>1</v>
      </c>
      <c r="N43" s="24">
        <f>VLOOKUP(tblRiskRegister32[[#This Row],[Asset Class]],tblInherentImpacts30[],5,FALSE)</f>
        <v>3</v>
      </c>
      <c r="O43" s="24" t="str">
        <f>IFERROR(MAX(tblRiskRegister32[[#This Row],[Impact to Mission]:[Impact to Obligations]])*tblRiskRegister32[[#This Row],[Expectancy Score]],"")</f>
        <v/>
      </c>
      <c r="P43" s="24" t="str">
        <f>tblRiskRegister32[[#This Row],[Risk Score]]</f>
        <v/>
      </c>
      <c r="Q43" s="50"/>
      <c r="R43" s="50">
        <v>4.9000000000000004</v>
      </c>
      <c r="S43" s="15" t="s">
        <v>186</v>
      </c>
      <c r="T43" s="15" t="s">
        <v>314</v>
      </c>
      <c r="U43" s="26"/>
      <c r="V43" s="16"/>
      <c r="W43" s="23" t="str">
        <f>IFERROR(VLOOKUP(10*tblRiskRegister32[[#This Row],[Risk Treatment Safeguard Maturity Score]]+tblRiskRegister32[[#This Row],[VCDB Index]],tblHITIndexWeightTable[],4,FALSE),"")</f>
        <v/>
      </c>
      <c r="X43" s="23">
        <f>VLOOKUP(tblRiskRegister32[[#This Row],[Asset Class]],tblInherentImpacts30[],2,FALSE)</f>
        <v>3</v>
      </c>
      <c r="Y43" s="23">
        <f>VLOOKUP(tblRiskRegister32[[#This Row],[Asset Class]],tblInherentImpacts30[],3,FALSE)</f>
        <v>3</v>
      </c>
      <c r="Z43" s="23">
        <f>VLOOKUP(tblRiskRegister32[[#This Row],[Asset Class]],tblInherentImpacts30[],3,FALSE)</f>
        <v>3</v>
      </c>
      <c r="AA43" s="23">
        <f>VLOOKUP(tblRiskRegister32[[#This Row],[Asset Class]],tblInherentImpacts30[],4,FALSE)</f>
        <v>1</v>
      </c>
      <c r="AB43" s="23" t="str">
        <f>IFERROR(MAX(tblRiskRegister32[[#This Row],[Risk Treatment Safeguard Impact to Mission]:[Risk Treatment Safeguard Impact to Obligations]])*tblRiskRegister32[[#This Row],[Risk Treatment
Safeguard Expectancy Score]],"")</f>
        <v/>
      </c>
      <c r="AC43" s="23" t="str">
        <f>IF(tblRiskRegister32[[#This Row],[Risk Score]]&gt;AcceptableRisk,IF(tblRiskRegister32[[#This Row],[Risk Treatment Safeguard Risk Score]]&lt;AcceptableRisk, IF(tblRiskRegister32[[#This Row],[Risk Treatment Safeguard Risk Score]]&lt;=tblRiskRegister32[[#This Row],[Risk Score]],"Yes","No"),"No"),"Yes")</f>
        <v>No</v>
      </c>
      <c r="AD43" s="17"/>
      <c r="AE43" s="17"/>
      <c r="AF43" s="18"/>
    </row>
    <row r="44" spans="2:32" ht="70" hidden="1">
      <c r="B44" s="15" t="s">
        <v>94</v>
      </c>
      <c r="C44" s="50"/>
      <c r="D44" s="50">
        <v>5.0999999999999996</v>
      </c>
      <c r="E44" s="14" t="s">
        <v>55</v>
      </c>
      <c r="F44" s="15"/>
      <c r="G44" s="15"/>
      <c r="H44" s="16"/>
      <c r="I44" s="24">
        <f>IFERROR(VLOOKUP(tblRiskRegister32[[#This Row],[Asset Class]],tblVCDBIndex[],4,FALSE),"")</f>
        <v>3</v>
      </c>
      <c r="J44" s="24" t="str">
        <f>IFERROR(VLOOKUP(10*tblRiskRegister32[[#This Row],[Safeguard Maturity Score]]+tblRiskRegister32[[#This Row],[VCDB Index]],tblHITIndexWeightTable[],4,FALSE),"")</f>
        <v/>
      </c>
      <c r="K44" s="24">
        <f>VLOOKUP(tblRiskRegister32[[#This Row],[Asset Class]],tblInherentImpacts30[],2,FALSE)</f>
        <v>5</v>
      </c>
      <c r="L44" s="24">
        <f>VLOOKUP(tblRiskRegister32[[#This Row],[Asset Class]],tblInherentImpacts30[],3,FALSE)</f>
        <v>5</v>
      </c>
      <c r="M44" s="24">
        <f>VLOOKUP(tblRiskRegister32[[#This Row],[Asset Class]],tblInherentImpacts30[],4,FALSE)</f>
        <v>1</v>
      </c>
      <c r="N44" s="24">
        <f>VLOOKUP(tblRiskRegister32[[#This Row],[Asset Class]],tblInherentImpacts30[],5,FALSE)</f>
        <v>5</v>
      </c>
      <c r="O44" s="24" t="str">
        <f>IFERROR(MAX(tblRiskRegister32[[#This Row],[Impact to Mission]:[Impact to Obligations]])*tblRiskRegister32[[#This Row],[Expectancy Score]],"")</f>
        <v/>
      </c>
      <c r="P44" s="24" t="str">
        <f>tblRiskRegister32[[#This Row],[Risk Score]]</f>
        <v/>
      </c>
      <c r="Q44" s="50"/>
      <c r="R44" s="50">
        <v>5.0999999999999996</v>
      </c>
      <c r="S44" s="15" t="s">
        <v>55</v>
      </c>
      <c r="T44" s="15" t="s">
        <v>317</v>
      </c>
      <c r="U44" s="26"/>
      <c r="V44" s="16"/>
      <c r="W44" s="23" t="str">
        <f>IFERROR(VLOOKUP(10*tblRiskRegister32[[#This Row],[Risk Treatment Safeguard Maturity Score]]+tblRiskRegister32[[#This Row],[VCDB Index]],tblHITIndexWeightTable[],4,FALSE),"")</f>
        <v/>
      </c>
      <c r="X44" s="23">
        <f>VLOOKUP(tblRiskRegister32[[#This Row],[Asset Class]],tblInherentImpacts30[],2,FALSE)</f>
        <v>5</v>
      </c>
      <c r="Y44" s="23">
        <f>VLOOKUP(tblRiskRegister32[[#This Row],[Asset Class]],tblInherentImpacts30[],3,FALSE)</f>
        <v>5</v>
      </c>
      <c r="Z44" s="23">
        <f>VLOOKUP(tblRiskRegister32[[#This Row],[Asset Class]],tblInherentImpacts30[],3,FALSE)</f>
        <v>5</v>
      </c>
      <c r="AA44" s="23">
        <f>VLOOKUP(tblRiskRegister32[[#This Row],[Asset Class]],tblInherentImpacts30[],4,FALSE)</f>
        <v>1</v>
      </c>
      <c r="AB44" s="23" t="str">
        <f>IFERROR(MAX(tblRiskRegister32[[#This Row],[Risk Treatment Safeguard Impact to Mission]:[Risk Treatment Safeguard Impact to Obligations]])*tblRiskRegister32[[#This Row],[Risk Treatment
Safeguard Expectancy Score]],"")</f>
        <v/>
      </c>
      <c r="AC44" s="23" t="str">
        <f>IF(tblRiskRegister32[[#This Row],[Risk Score]]&gt;AcceptableRisk,IF(tblRiskRegister32[[#This Row],[Risk Treatment Safeguard Risk Score]]&lt;AcceptableRisk, IF(tblRiskRegister32[[#This Row],[Risk Treatment Safeguard Risk Score]]&lt;=tblRiskRegister32[[#This Row],[Risk Score]],"Yes","No"),"No"),"Yes")</f>
        <v>No</v>
      </c>
      <c r="AD44" s="17"/>
      <c r="AE44" s="17"/>
      <c r="AF44" s="18"/>
    </row>
    <row r="45" spans="2:32" ht="70">
      <c r="B45" s="15" t="s">
        <v>94</v>
      </c>
      <c r="C45" s="50" t="s">
        <v>520</v>
      </c>
      <c r="D45" s="50">
        <v>5.2</v>
      </c>
      <c r="E45" s="14" t="s">
        <v>14</v>
      </c>
      <c r="F45" s="15" t="s">
        <v>551</v>
      </c>
      <c r="G45" s="15" t="s">
        <v>575</v>
      </c>
      <c r="H45" s="16">
        <v>5</v>
      </c>
      <c r="I45" s="24">
        <f>IFERROR(VLOOKUP(tblRiskRegister32[[#This Row],[Asset Class]],tblVCDBIndex[],4,FALSE),"")</f>
        <v>3</v>
      </c>
      <c r="J45" s="24">
        <f>IFERROR(VLOOKUP(10*tblRiskRegister32[[#This Row],[Safeguard Maturity Score]]+tblRiskRegister32[[#This Row],[VCDB Index]],tblHITIndexWeightTable[],4,FALSE),"")</f>
        <v>1</v>
      </c>
      <c r="K45" s="24">
        <f>VLOOKUP(tblRiskRegister32[[#This Row],[Asset Class]],tblInherentImpacts30[],2,FALSE)</f>
        <v>5</v>
      </c>
      <c r="L45" s="24">
        <f>VLOOKUP(tblRiskRegister32[[#This Row],[Asset Class]],tblInherentImpacts30[],3,FALSE)</f>
        <v>5</v>
      </c>
      <c r="M45" s="24">
        <f>VLOOKUP(tblRiskRegister32[[#This Row],[Asset Class]],tblInherentImpacts30[],4,FALSE)</f>
        <v>1</v>
      </c>
      <c r="N45" s="24">
        <f>VLOOKUP(tblRiskRegister32[[#This Row],[Asset Class]],tblInherentImpacts30[],5,FALSE)</f>
        <v>5</v>
      </c>
      <c r="O45" s="24">
        <f>IFERROR(MAX(tblRiskRegister32[[#This Row],[Impact to Mission]:[Impact to Obligations]])*tblRiskRegister32[[#This Row],[Expectancy Score]],"")</f>
        <v>5</v>
      </c>
      <c r="P45" s="24">
        <f>tblRiskRegister32[[#This Row],[Risk Score]]</f>
        <v>5</v>
      </c>
      <c r="Q45" s="50" t="s">
        <v>449</v>
      </c>
      <c r="R45" s="50">
        <v>5.2</v>
      </c>
      <c r="S45" s="15" t="s">
        <v>14</v>
      </c>
      <c r="T45" s="15" t="s">
        <v>318</v>
      </c>
      <c r="U45" s="26"/>
      <c r="V45" s="16"/>
      <c r="W45" s="23" t="str">
        <f>IFERROR(VLOOKUP(10*tblRiskRegister32[[#This Row],[Risk Treatment Safeguard Maturity Score]]+tblRiskRegister32[[#This Row],[VCDB Index]],tblHITIndexWeightTable[],4,FALSE),"")</f>
        <v/>
      </c>
      <c r="X45" s="23">
        <f>VLOOKUP(tblRiskRegister32[[#This Row],[Asset Class]],tblInherentImpacts30[],2,FALSE)</f>
        <v>5</v>
      </c>
      <c r="Y45" s="23">
        <f>VLOOKUP(tblRiskRegister32[[#This Row],[Asset Class]],tblInherentImpacts30[],3,FALSE)</f>
        <v>5</v>
      </c>
      <c r="Z45" s="23">
        <f>VLOOKUP(tblRiskRegister32[[#This Row],[Asset Class]],tblInherentImpacts30[],3,FALSE)</f>
        <v>5</v>
      </c>
      <c r="AA45" s="23">
        <f>VLOOKUP(tblRiskRegister32[[#This Row],[Asset Class]],tblInherentImpacts30[],4,FALSE)</f>
        <v>1</v>
      </c>
      <c r="AB45" s="23" t="str">
        <f>IFERROR(MAX(tblRiskRegister32[[#This Row],[Risk Treatment Safeguard Impact to Mission]:[Risk Treatment Safeguard Impact to Obligations]])*tblRiskRegister32[[#This Row],[Risk Treatment
Safeguard Expectancy Score]],"")</f>
        <v/>
      </c>
      <c r="AC45" s="23" t="str">
        <f>IF(tblRiskRegister32[[#This Row],[Risk Score]]&gt;AcceptableRisk,IF(tblRiskRegister32[[#This Row],[Risk Treatment Safeguard Risk Score]]&lt;AcceptableRisk, IF(tblRiskRegister32[[#This Row],[Risk Treatment Safeguard Risk Score]]&lt;=tblRiskRegister32[[#This Row],[Risk Score]],"Yes","No"),"No"),"Yes")</f>
        <v>Yes</v>
      </c>
      <c r="AD45" s="17"/>
      <c r="AE45" s="17"/>
      <c r="AF45" s="18"/>
    </row>
    <row r="46" spans="2:32" ht="28" hidden="1">
      <c r="B46" s="15" t="s">
        <v>94</v>
      </c>
      <c r="C46" s="50"/>
      <c r="D46" s="50">
        <v>5.3</v>
      </c>
      <c r="E46" s="14" t="s">
        <v>16</v>
      </c>
      <c r="F46" s="15"/>
      <c r="G46" s="15"/>
      <c r="H46" s="16"/>
      <c r="I46" s="24">
        <f>IFERROR(VLOOKUP(tblRiskRegister32[[#This Row],[Asset Class]],tblVCDBIndex[],4,FALSE),"")</f>
        <v>3</v>
      </c>
      <c r="J46" s="24" t="str">
        <f>IFERROR(VLOOKUP(10*tblRiskRegister32[[#This Row],[Safeguard Maturity Score]]+tblRiskRegister32[[#This Row],[VCDB Index]],tblHITIndexWeightTable[],4,FALSE),"")</f>
        <v/>
      </c>
      <c r="K46" s="24">
        <f>VLOOKUP(tblRiskRegister32[[#This Row],[Asset Class]],tblInherentImpacts30[],2,FALSE)</f>
        <v>5</v>
      </c>
      <c r="L46" s="24">
        <f>VLOOKUP(tblRiskRegister32[[#This Row],[Asset Class]],tblInherentImpacts30[],3,FALSE)</f>
        <v>5</v>
      </c>
      <c r="M46" s="24">
        <f>VLOOKUP(tblRiskRegister32[[#This Row],[Asset Class]],tblInherentImpacts30[],4,FALSE)</f>
        <v>1</v>
      </c>
      <c r="N46" s="24">
        <f>VLOOKUP(tblRiskRegister32[[#This Row],[Asset Class]],tblInherentImpacts30[],5,FALSE)</f>
        <v>5</v>
      </c>
      <c r="O46" s="24" t="str">
        <f>IFERROR(MAX(tblRiskRegister32[[#This Row],[Impact to Mission]:[Impact to Obligations]])*tblRiskRegister32[[#This Row],[Expectancy Score]],"")</f>
        <v/>
      </c>
      <c r="P46" s="24" t="str">
        <f>tblRiskRegister32[[#This Row],[Risk Score]]</f>
        <v/>
      </c>
      <c r="Q46" s="50"/>
      <c r="R46" s="50">
        <v>5.3</v>
      </c>
      <c r="S46" s="15" t="s">
        <v>16</v>
      </c>
      <c r="T46" s="15" t="s">
        <v>319</v>
      </c>
      <c r="U46" s="26"/>
      <c r="V46" s="16"/>
      <c r="W46" s="23" t="str">
        <f>IFERROR(VLOOKUP(10*tblRiskRegister32[[#This Row],[Risk Treatment Safeguard Maturity Score]]+tblRiskRegister32[[#This Row],[VCDB Index]],tblHITIndexWeightTable[],4,FALSE),"")</f>
        <v/>
      </c>
      <c r="X46" s="23">
        <f>VLOOKUP(tblRiskRegister32[[#This Row],[Asset Class]],tblInherentImpacts30[],2,FALSE)</f>
        <v>5</v>
      </c>
      <c r="Y46" s="23">
        <f>VLOOKUP(tblRiskRegister32[[#This Row],[Asset Class]],tblInherentImpacts30[],3,FALSE)</f>
        <v>5</v>
      </c>
      <c r="Z46" s="23">
        <f>VLOOKUP(tblRiskRegister32[[#This Row],[Asset Class]],tblInherentImpacts30[],3,FALSE)</f>
        <v>5</v>
      </c>
      <c r="AA46" s="23">
        <f>VLOOKUP(tblRiskRegister32[[#This Row],[Asset Class]],tblInherentImpacts30[],4,FALSE)</f>
        <v>1</v>
      </c>
      <c r="AB46" s="23" t="str">
        <f>IFERROR(MAX(tblRiskRegister32[[#This Row],[Risk Treatment Safeguard Impact to Mission]:[Risk Treatment Safeguard Impact to Obligations]])*tblRiskRegister32[[#This Row],[Risk Treatment
Safeguard Expectancy Score]],"")</f>
        <v/>
      </c>
      <c r="AC46" s="23" t="str">
        <f>IF(tblRiskRegister32[[#This Row],[Risk Score]]&gt;AcceptableRisk,IF(tblRiskRegister32[[#This Row],[Risk Treatment Safeguard Risk Score]]&lt;AcceptableRisk, IF(tblRiskRegister32[[#This Row],[Risk Treatment Safeguard Risk Score]]&lt;=tblRiskRegister32[[#This Row],[Risk Score]],"Yes","No"),"No"),"Yes")</f>
        <v>No</v>
      </c>
      <c r="AD46" s="17"/>
      <c r="AE46" s="17"/>
      <c r="AF46" s="18"/>
    </row>
    <row r="47" spans="2:32" ht="42">
      <c r="B47" s="15" t="s">
        <v>94</v>
      </c>
      <c r="C47" s="50" t="s">
        <v>520</v>
      </c>
      <c r="D47" s="50">
        <v>5.4</v>
      </c>
      <c r="E47" s="14" t="s">
        <v>56</v>
      </c>
      <c r="F47" s="15" t="s">
        <v>552</v>
      </c>
      <c r="G47" s="15" t="s">
        <v>575</v>
      </c>
      <c r="H47" s="16">
        <v>5</v>
      </c>
      <c r="I47" s="24">
        <f>IFERROR(VLOOKUP(tblRiskRegister32[[#This Row],[Asset Class]],tblVCDBIndex[],4,FALSE),"")</f>
        <v>3</v>
      </c>
      <c r="J47" s="24">
        <f>IFERROR(VLOOKUP(10*tblRiskRegister32[[#This Row],[Safeguard Maturity Score]]+tblRiskRegister32[[#This Row],[VCDB Index]],tblHITIndexWeightTable[],4,FALSE),"")</f>
        <v>1</v>
      </c>
      <c r="K47" s="24">
        <f>VLOOKUP(tblRiskRegister32[[#This Row],[Asset Class]],tblInherentImpacts30[],2,FALSE)</f>
        <v>5</v>
      </c>
      <c r="L47" s="24">
        <f>VLOOKUP(tblRiskRegister32[[#This Row],[Asset Class]],tblInherentImpacts30[],3,FALSE)</f>
        <v>5</v>
      </c>
      <c r="M47" s="24">
        <f>VLOOKUP(tblRiskRegister32[[#This Row],[Asset Class]],tblInherentImpacts30[],4,FALSE)</f>
        <v>1</v>
      </c>
      <c r="N47" s="24">
        <f>VLOOKUP(tblRiskRegister32[[#This Row],[Asset Class]],tblInherentImpacts30[],5,FALSE)</f>
        <v>5</v>
      </c>
      <c r="O47" s="24">
        <f>IFERROR(MAX(tblRiskRegister32[[#This Row],[Impact to Mission]:[Impact to Obligations]])*tblRiskRegister32[[#This Row],[Expectancy Score]],"")</f>
        <v>5</v>
      </c>
      <c r="P47" s="24">
        <f>tblRiskRegister32[[#This Row],[Risk Score]]</f>
        <v>5</v>
      </c>
      <c r="Q47" s="50" t="s">
        <v>449</v>
      </c>
      <c r="R47" s="50">
        <v>5.4</v>
      </c>
      <c r="S47" s="15" t="s">
        <v>56</v>
      </c>
      <c r="T47" s="15" t="s">
        <v>320</v>
      </c>
      <c r="U47" s="26"/>
      <c r="V47" s="16"/>
      <c r="W47" s="23" t="str">
        <f>IFERROR(VLOOKUP(10*tblRiskRegister32[[#This Row],[Risk Treatment Safeguard Maturity Score]]+tblRiskRegister32[[#This Row],[VCDB Index]],tblHITIndexWeightTable[],4,FALSE),"")</f>
        <v/>
      </c>
      <c r="X47" s="23">
        <f>VLOOKUP(tblRiskRegister32[[#This Row],[Asset Class]],tblInherentImpacts30[],2,FALSE)</f>
        <v>5</v>
      </c>
      <c r="Y47" s="23">
        <f>VLOOKUP(tblRiskRegister32[[#This Row],[Asset Class]],tblInherentImpacts30[],3,FALSE)</f>
        <v>5</v>
      </c>
      <c r="Z47" s="23">
        <f>VLOOKUP(tblRiskRegister32[[#This Row],[Asset Class]],tblInherentImpacts30[],3,FALSE)</f>
        <v>5</v>
      </c>
      <c r="AA47" s="23">
        <f>VLOOKUP(tblRiskRegister32[[#This Row],[Asset Class]],tblInherentImpacts30[],4,FALSE)</f>
        <v>1</v>
      </c>
      <c r="AB47" s="23" t="str">
        <f>IFERROR(MAX(tblRiskRegister32[[#This Row],[Risk Treatment Safeguard Impact to Mission]:[Risk Treatment Safeguard Impact to Obligations]])*tblRiskRegister32[[#This Row],[Risk Treatment
Safeguard Expectancy Score]],"")</f>
        <v/>
      </c>
      <c r="AC47" s="23" t="str">
        <f>IF(tblRiskRegister32[[#This Row],[Risk Score]]&gt;AcceptableRisk,IF(tblRiskRegister32[[#This Row],[Risk Treatment Safeguard Risk Score]]&lt;AcceptableRisk, IF(tblRiskRegister32[[#This Row],[Risk Treatment Safeguard Risk Score]]&lt;=tblRiskRegister32[[#This Row],[Risk Score]],"Yes","No"),"No"),"Yes")</f>
        <v>Yes</v>
      </c>
      <c r="AD47" s="17"/>
      <c r="AE47" s="17"/>
      <c r="AF47" s="18"/>
    </row>
    <row r="48" spans="2:32" ht="56" hidden="1">
      <c r="B48" s="15" t="s">
        <v>94</v>
      </c>
      <c r="C48" s="50"/>
      <c r="D48" s="50">
        <v>5.5</v>
      </c>
      <c r="E48" s="14" t="s">
        <v>229</v>
      </c>
      <c r="F48" s="15"/>
      <c r="G48" s="15"/>
      <c r="H48" s="16"/>
      <c r="I48" s="24">
        <f>IFERROR(VLOOKUP(tblRiskRegister32[[#This Row],[Asset Class]],tblVCDBIndex[],4,FALSE),"")</f>
        <v>3</v>
      </c>
      <c r="J48" s="24" t="str">
        <f>IFERROR(VLOOKUP(10*tblRiskRegister32[[#This Row],[Safeguard Maturity Score]]+tblRiskRegister32[[#This Row],[VCDB Index]],tblHITIndexWeightTable[],4,FALSE),"")</f>
        <v/>
      </c>
      <c r="K48" s="24">
        <f>VLOOKUP(tblRiskRegister32[[#This Row],[Asset Class]],tblInherentImpacts30[],2,FALSE)</f>
        <v>5</v>
      </c>
      <c r="L48" s="24">
        <f>VLOOKUP(tblRiskRegister32[[#This Row],[Asset Class]],tblInherentImpacts30[],3,FALSE)</f>
        <v>5</v>
      </c>
      <c r="M48" s="24">
        <f>VLOOKUP(tblRiskRegister32[[#This Row],[Asset Class]],tblInherentImpacts30[],4,FALSE)</f>
        <v>1</v>
      </c>
      <c r="N48" s="24">
        <f>VLOOKUP(tblRiskRegister32[[#This Row],[Asset Class]],tblInherentImpacts30[],5,FALSE)</f>
        <v>5</v>
      </c>
      <c r="O48" s="24" t="str">
        <f>IFERROR(MAX(tblRiskRegister32[[#This Row],[Impact to Mission]:[Impact to Obligations]])*tblRiskRegister32[[#This Row],[Expectancy Score]],"")</f>
        <v/>
      </c>
      <c r="P48" s="24" t="str">
        <f>tblRiskRegister32[[#This Row],[Risk Score]]</f>
        <v/>
      </c>
      <c r="Q48" s="50"/>
      <c r="R48" s="50">
        <v>5.5</v>
      </c>
      <c r="S48" s="15" t="s">
        <v>229</v>
      </c>
      <c r="T48" s="15" t="s">
        <v>321</v>
      </c>
      <c r="U48" s="26"/>
      <c r="V48" s="16"/>
      <c r="W48" s="23" t="str">
        <f>IFERROR(VLOOKUP(10*tblRiskRegister32[[#This Row],[Risk Treatment Safeguard Maturity Score]]+tblRiskRegister32[[#This Row],[VCDB Index]],tblHITIndexWeightTable[],4,FALSE),"")</f>
        <v/>
      </c>
      <c r="X48" s="23">
        <f>VLOOKUP(tblRiskRegister32[[#This Row],[Asset Class]],tblInherentImpacts30[],2,FALSE)</f>
        <v>5</v>
      </c>
      <c r="Y48" s="23">
        <f>VLOOKUP(tblRiskRegister32[[#This Row],[Asset Class]],tblInherentImpacts30[],3,FALSE)</f>
        <v>5</v>
      </c>
      <c r="Z48" s="23">
        <f>VLOOKUP(tblRiskRegister32[[#This Row],[Asset Class]],tblInherentImpacts30[],3,FALSE)</f>
        <v>5</v>
      </c>
      <c r="AA48" s="23">
        <f>VLOOKUP(tblRiskRegister32[[#This Row],[Asset Class]],tblInherentImpacts30[],4,FALSE)</f>
        <v>1</v>
      </c>
      <c r="AB48" s="23" t="str">
        <f>IFERROR(MAX(tblRiskRegister32[[#This Row],[Risk Treatment Safeguard Impact to Mission]:[Risk Treatment Safeguard Impact to Obligations]])*tblRiskRegister32[[#This Row],[Risk Treatment
Safeguard Expectancy Score]],"")</f>
        <v/>
      </c>
      <c r="AC48" s="23" t="str">
        <f>IF(tblRiskRegister32[[#This Row],[Risk Score]]&gt;AcceptableRisk,IF(tblRiskRegister32[[#This Row],[Risk Treatment Safeguard Risk Score]]&lt;AcceptableRisk, IF(tblRiskRegister32[[#This Row],[Risk Treatment Safeguard Risk Score]]&lt;=tblRiskRegister32[[#This Row],[Risk Score]],"Yes","No"),"No"),"Yes")</f>
        <v>No</v>
      </c>
      <c r="AD48" s="17"/>
      <c r="AE48" s="17"/>
      <c r="AF48" s="18"/>
    </row>
    <row r="49" spans="2:32" ht="56">
      <c r="B49" s="15" t="s">
        <v>94</v>
      </c>
      <c r="C49" s="50" t="s">
        <v>520</v>
      </c>
      <c r="D49" s="50">
        <v>5.6</v>
      </c>
      <c r="E49" s="14" t="s">
        <v>230</v>
      </c>
      <c r="F49" s="15" t="s">
        <v>553</v>
      </c>
      <c r="G49" s="15" t="s">
        <v>575</v>
      </c>
      <c r="H49" s="16">
        <v>5</v>
      </c>
      <c r="I49" s="24">
        <f>IFERROR(VLOOKUP(tblRiskRegister32[[#This Row],[Asset Class]],tblVCDBIndex[],4,FALSE),"")</f>
        <v>3</v>
      </c>
      <c r="J49" s="24">
        <f>IFERROR(VLOOKUP(10*tblRiskRegister32[[#This Row],[Safeguard Maturity Score]]+tblRiskRegister32[[#This Row],[VCDB Index]],tblHITIndexWeightTable[],4,FALSE),"")</f>
        <v>1</v>
      </c>
      <c r="K49" s="24">
        <f>VLOOKUP(tblRiskRegister32[[#This Row],[Asset Class]],tblInherentImpacts30[],2,FALSE)</f>
        <v>5</v>
      </c>
      <c r="L49" s="24">
        <f>VLOOKUP(tblRiskRegister32[[#This Row],[Asset Class]],tblInherentImpacts30[],3,FALSE)</f>
        <v>5</v>
      </c>
      <c r="M49" s="24">
        <f>VLOOKUP(tblRiskRegister32[[#This Row],[Asset Class]],tblInherentImpacts30[],4,FALSE)</f>
        <v>1</v>
      </c>
      <c r="N49" s="24">
        <f>VLOOKUP(tblRiskRegister32[[#This Row],[Asset Class]],tblInherentImpacts30[],5,FALSE)</f>
        <v>5</v>
      </c>
      <c r="O49" s="24">
        <f>IFERROR(MAX(tblRiskRegister32[[#This Row],[Impact to Mission]:[Impact to Obligations]])*tblRiskRegister32[[#This Row],[Expectancy Score]],"")</f>
        <v>5</v>
      </c>
      <c r="P49" s="24">
        <f>tblRiskRegister32[[#This Row],[Risk Score]]</f>
        <v>5</v>
      </c>
      <c r="Q49" s="50" t="s">
        <v>449</v>
      </c>
      <c r="R49" s="50">
        <v>5.6</v>
      </c>
      <c r="S49" s="15" t="s">
        <v>230</v>
      </c>
      <c r="T49" s="15" t="s">
        <v>322</v>
      </c>
      <c r="U49" s="26"/>
      <c r="V49" s="16"/>
      <c r="W49" s="23" t="str">
        <f>IFERROR(VLOOKUP(10*tblRiskRegister32[[#This Row],[Risk Treatment Safeguard Maturity Score]]+tblRiskRegister32[[#This Row],[VCDB Index]],tblHITIndexWeightTable[],4,FALSE),"")</f>
        <v/>
      </c>
      <c r="X49" s="23">
        <f>VLOOKUP(tblRiskRegister32[[#This Row],[Asset Class]],tblInherentImpacts30[],2,FALSE)</f>
        <v>5</v>
      </c>
      <c r="Y49" s="23">
        <f>VLOOKUP(tblRiskRegister32[[#This Row],[Asset Class]],tblInherentImpacts30[],3,FALSE)</f>
        <v>5</v>
      </c>
      <c r="Z49" s="23">
        <f>VLOOKUP(tblRiskRegister32[[#This Row],[Asset Class]],tblInherentImpacts30[],3,FALSE)</f>
        <v>5</v>
      </c>
      <c r="AA49" s="23">
        <f>VLOOKUP(tblRiskRegister32[[#This Row],[Asset Class]],tblInherentImpacts30[],4,FALSE)</f>
        <v>1</v>
      </c>
      <c r="AB49" s="23" t="str">
        <f>IFERROR(MAX(tblRiskRegister32[[#This Row],[Risk Treatment Safeguard Impact to Mission]:[Risk Treatment Safeguard Impact to Obligations]])*tblRiskRegister32[[#This Row],[Risk Treatment
Safeguard Expectancy Score]],"")</f>
        <v/>
      </c>
      <c r="AC49" s="23" t="str">
        <f>IF(tblRiskRegister32[[#This Row],[Risk Score]]&gt;AcceptableRisk,IF(tblRiskRegister32[[#This Row],[Risk Treatment Safeguard Risk Score]]&lt;AcceptableRisk, IF(tblRiskRegister32[[#This Row],[Risk Treatment Safeguard Risk Score]]&lt;=tblRiskRegister32[[#This Row],[Risk Score]],"Yes","No"),"No"),"Yes")</f>
        <v>Yes</v>
      </c>
      <c r="AD49" s="17"/>
      <c r="AE49" s="17"/>
      <c r="AF49" s="18"/>
    </row>
    <row r="50" spans="2:32" ht="56">
      <c r="B50" s="15" t="s">
        <v>94</v>
      </c>
      <c r="C50" s="50" t="s">
        <v>520</v>
      </c>
      <c r="D50" s="50">
        <v>6.1</v>
      </c>
      <c r="E50" s="14" t="s">
        <v>57</v>
      </c>
      <c r="F50" s="15" t="s">
        <v>554</v>
      </c>
      <c r="G50" s="15" t="s">
        <v>575</v>
      </c>
      <c r="H50" s="16">
        <v>5</v>
      </c>
      <c r="I50" s="24">
        <f>IFERROR(VLOOKUP(tblRiskRegister32[[#This Row],[Asset Class]],tblVCDBIndex[],4,FALSE),"")</f>
        <v>3</v>
      </c>
      <c r="J50" s="24">
        <f>IFERROR(VLOOKUP(10*tblRiskRegister32[[#This Row],[Safeguard Maturity Score]]+tblRiskRegister32[[#This Row],[VCDB Index]],tblHITIndexWeightTable[],4,FALSE),"")</f>
        <v>1</v>
      </c>
      <c r="K50" s="24">
        <f>VLOOKUP(tblRiskRegister32[[#This Row],[Asset Class]],tblInherentImpacts30[],2,FALSE)</f>
        <v>5</v>
      </c>
      <c r="L50" s="24">
        <f>VLOOKUP(tblRiskRegister32[[#This Row],[Asset Class]],tblInherentImpacts30[],3,FALSE)</f>
        <v>5</v>
      </c>
      <c r="M50" s="24">
        <f>VLOOKUP(tblRiskRegister32[[#This Row],[Asset Class]],tblInherentImpacts30[],4,FALSE)</f>
        <v>1</v>
      </c>
      <c r="N50" s="24">
        <f>VLOOKUP(tblRiskRegister32[[#This Row],[Asset Class]],tblInherentImpacts30[],5,FALSE)</f>
        <v>5</v>
      </c>
      <c r="O50" s="24">
        <f>IFERROR(MAX(tblRiskRegister32[[#This Row],[Impact to Mission]:[Impact to Obligations]])*tblRiskRegister32[[#This Row],[Expectancy Score]],"")</f>
        <v>5</v>
      </c>
      <c r="P50" s="24">
        <f>tblRiskRegister32[[#This Row],[Risk Score]]</f>
        <v>5</v>
      </c>
      <c r="Q50" s="50" t="s">
        <v>449</v>
      </c>
      <c r="R50" s="50">
        <v>6.1</v>
      </c>
      <c r="S50" s="15" t="s">
        <v>57</v>
      </c>
      <c r="T50" s="15" t="s">
        <v>323</v>
      </c>
      <c r="U50" s="26"/>
      <c r="V50" s="16"/>
      <c r="W50" s="23" t="str">
        <f>IFERROR(VLOOKUP(10*tblRiskRegister32[[#This Row],[Risk Treatment Safeguard Maturity Score]]+tblRiskRegister32[[#This Row],[VCDB Index]],tblHITIndexWeightTable[],4,FALSE),"")</f>
        <v/>
      </c>
      <c r="X50" s="23">
        <f>VLOOKUP(tblRiskRegister32[[#This Row],[Asset Class]],tblInherentImpacts30[],2,FALSE)</f>
        <v>5</v>
      </c>
      <c r="Y50" s="23">
        <f>VLOOKUP(tblRiskRegister32[[#This Row],[Asset Class]],tblInherentImpacts30[],3,FALSE)</f>
        <v>5</v>
      </c>
      <c r="Z50" s="23">
        <f>VLOOKUP(tblRiskRegister32[[#This Row],[Asset Class]],tblInherentImpacts30[],3,FALSE)</f>
        <v>5</v>
      </c>
      <c r="AA50" s="23">
        <f>VLOOKUP(tblRiskRegister32[[#This Row],[Asset Class]],tblInherentImpacts30[],4,FALSE)</f>
        <v>1</v>
      </c>
      <c r="AB50" s="23" t="str">
        <f>IFERROR(MAX(tblRiskRegister32[[#This Row],[Risk Treatment Safeguard Impact to Mission]:[Risk Treatment Safeguard Impact to Obligations]])*tblRiskRegister32[[#This Row],[Risk Treatment
Safeguard Expectancy Score]],"")</f>
        <v/>
      </c>
      <c r="AC50" s="23" t="str">
        <f>IF(tblRiskRegister32[[#This Row],[Risk Score]]&gt;AcceptableRisk,IF(tblRiskRegister32[[#This Row],[Risk Treatment Safeguard Risk Score]]&lt;AcceptableRisk, IF(tblRiskRegister32[[#This Row],[Risk Treatment Safeguard Risk Score]]&lt;=tblRiskRegister32[[#This Row],[Risk Score]],"Yes","No"),"No"),"Yes")</f>
        <v>Yes</v>
      </c>
      <c r="AD50" s="17"/>
      <c r="AE50" s="17"/>
      <c r="AF50" s="18"/>
    </row>
    <row r="51" spans="2:32" ht="56">
      <c r="B51" s="15" t="s">
        <v>94</v>
      </c>
      <c r="C51" s="50" t="s">
        <v>520</v>
      </c>
      <c r="D51" s="50">
        <v>6.2</v>
      </c>
      <c r="E51" s="14" t="s">
        <v>58</v>
      </c>
      <c r="F51" s="15" t="s">
        <v>555</v>
      </c>
      <c r="G51" s="15" t="s">
        <v>584</v>
      </c>
      <c r="H51" s="16">
        <v>2</v>
      </c>
      <c r="I51" s="24">
        <f>IFERROR(VLOOKUP(tblRiskRegister32[[#This Row],[Asset Class]],tblVCDBIndex[],4,FALSE),"")</f>
        <v>3</v>
      </c>
      <c r="J51" s="24">
        <f>IFERROR(VLOOKUP(10*tblRiskRegister32[[#This Row],[Safeguard Maturity Score]]+tblRiskRegister32[[#This Row],[VCDB Index]],tblHITIndexWeightTable[],4,FALSE),"")</f>
        <v>4</v>
      </c>
      <c r="K51" s="24">
        <f>VLOOKUP(tblRiskRegister32[[#This Row],[Asset Class]],tblInherentImpacts30[],2,FALSE)</f>
        <v>5</v>
      </c>
      <c r="L51" s="24">
        <f>VLOOKUP(tblRiskRegister32[[#This Row],[Asset Class]],tblInherentImpacts30[],3,FALSE)</f>
        <v>5</v>
      </c>
      <c r="M51" s="24">
        <f>VLOOKUP(tblRiskRegister32[[#This Row],[Asset Class]],tblInherentImpacts30[],4,FALSE)</f>
        <v>1</v>
      </c>
      <c r="N51" s="24">
        <f>VLOOKUP(tblRiskRegister32[[#This Row],[Asset Class]],tblInherentImpacts30[],5,FALSE)</f>
        <v>5</v>
      </c>
      <c r="O51" s="24">
        <f>IFERROR(MAX(tblRiskRegister32[[#This Row],[Impact to Mission]:[Impact to Obligations]])*tblRiskRegister32[[#This Row],[Expectancy Score]],"")</f>
        <v>20</v>
      </c>
      <c r="P51" s="24">
        <f>tblRiskRegister32[[#This Row],[Risk Score]]</f>
        <v>20</v>
      </c>
      <c r="Q51" s="50" t="s">
        <v>448</v>
      </c>
      <c r="R51" s="50">
        <v>6.2</v>
      </c>
      <c r="S51" s="15" t="s">
        <v>58</v>
      </c>
      <c r="T51" s="15" t="s">
        <v>324</v>
      </c>
      <c r="U51" s="26"/>
      <c r="V51" s="16"/>
      <c r="W51" s="23" t="str">
        <f>IFERROR(VLOOKUP(10*tblRiskRegister32[[#This Row],[Risk Treatment Safeguard Maturity Score]]+tblRiskRegister32[[#This Row],[VCDB Index]],tblHITIndexWeightTable[],4,FALSE),"")</f>
        <v/>
      </c>
      <c r="X51" s="23">
        <f>VLOOKUP(tblRiskRegister32[[#This Row],[Asset Class]],tblInherentImpacts30[],2,FALSE)</f>
        <v>5</v>
      </c>
      <c r="Y51" s="23">
        <f>VLOOKUP(tblRiskRegister32[[#This Row],[Asset Class]],tblInherentImpacts30[],3,FALSE)</f>
        <v>5</v>
      </c>
      <c r="Z51" s="23">
        <f>VLOOKUP(tblRiskRegister32[[#This Row],[Asset Class]],tblInherentImpacts30[],3,FALSE)</f>
        <v>5</v>
      </c>
      <c r="AA51" s="23">
        <f>VLOOKUP(tblRiskRegister32[[#This Row],[Asset Class]],tblInherentImpacts30[],4,FALSE)</f>
        <v>1</v>
      </c>
      <c r="AB51" s="23" t="str">
        <f>IFERROR(MAX(tblRiskRegister32[[#This Row],[Risk Treatment Safeguard Impact to Mission]:[Risk Treatment Safeguard Impact to Obligations]])*tblRiskRegister32[[#This Row],[Risk Treatment
Safeguard Expectancy Score]],"")</f>
        <v/>
      </c>
      <c r="AC51" s="23" t="str">
        <f>IF(tblRiskRegister32[[#This Row],[Risk Score]]&gt;AcceptableRisk,IF(tblRiskRegister32[[#This Row],[Risk Treatment Safeguard Risk Score]]&lt;AcceptableRisk, IF(tblRiskRegister32[[#This Row],[Risk Treatment Safeguard Risk Score]]&lt;=tblRiskRegister32[[#This Row],[Risk Score]],"Yes","No"),"No"),"Yes")</f>
        <v>No</v>
      </c>
      <c r="AD51" s="17"/>
      <c r="AE51" s="17"/>
      <c r="AF51" s="18"/>
    </row>
    <row r="52" spans="2:32" ht="42" hidden="1">
      <c r="B52" s="15" t="s">
        <v>94</v>
      </c>
      <c r="C52" s="50"/>
      <c r="D52" s="50">
        <v>6.3</v>
      </c>
      <c r="E52" s="14" t="s">
        <v>59</v>
      </c>
      <c r="F52" s="15"/>
      <c r="G52" s="15"/>
      <c r="H52" s="16"/>
      <c r="I52" s="24">
        <f>IFERROR(VLOOKUP(tblRiskRegister32[[#This Row],[Asset Class]],tblVCDBIndex[],4,FALSE),"")</f>
        <v>3</v>
      </c>
      <c r="J52" s="24" t="str">
        <f>IFERROR(VLOOKUP(10*tblRiskRegister32[[#This Row],[Safeguard Maturity Score]]+tblRiskRegister32[[#This Row],[VCDB Index]],tblHITIndexWeightTable[],4,FALSE),"")</f>
        <v/>
      </c>
      <c r="K52" s="24">
        <f>VLOOKUP(tblRiskRegister32[[#This Row],[Asset Class]],tblInherentImpacts30[],2,FALSE)</f>
        <v>5</v>
      </c>
      <c r="L52" s="24">
        <f>VLOOKUP(tblRiskRegister32[[#This Row],[Asset Class]],tblInherentImpacts30[],3,FALSE)</f>
        <v>5</v>
      </c>
      <c r="M52" s="24">
        <f>VLOOKUP(tblRiskRegister32[[#This Row],[Asset Class]],tblInherentImpacts30[],4,FALSE)</f>
        <v>1</v>
      </c>
      <c r="N52" s="24">
        <f>VLOOKUP(tblRiskRegister32[[#This Row],[Asset Class]],tblInherentImpacts30[],5,FALSE)</f>
        <v>5</v>
      </c>
      <c r="O52" s="24" t="str">
        <f>IFERROR(MAX(tblRiskRegister32[[#This Row],[Impact to Mission]:[Impact to Obligations]])*tblRiskRegister32[[#This Row],[Expectancy Score]],"")</f>
        <v/>
      </c>
      <c r="P52" s="24" t="str">
        <f>tblRiskRegister32[[#This Row],[Risk Score]]</f>
        <v/>
      </c>
      <c r="Q52" s="50"/>
      <c r="R52" s="50">
        <v>6.3</v>
      </c>
      <c r="S52" s="15" t="s">
        <v>59</v>
      </c>
      <c r="T52" s="15" t="s">
        <v>325</v>
      </c>
      <c r="U52" s="26"/>
      <c r="V52" s="16"/>
      <c r="W52" s="23" t="str">
        <f>IFERROR(VLOOKUP(10*tblRiskRegister32[[#This Row],[Risk Treatment Safeguard Maturity Score]]+tblRiskRegister32[[#This Row],[VCDB Index]],tblHITIndexWeightTable[],4,FALSE),"")</f>
        <v/>
      </c>
      <c r="X52" s="23">
        <f>VLOOKUP(tblRiskRegister32[[#This Row],[Asset Class]],tblInherentImpacts30[],2,FALSE)</f>
        <v>5</v>
      </c>
      <c r="Y52" s="23">
        <f>VLOOKUP(tblRiskRegister32[[#This Row],[Asset Class]],tblInherentImpacts30[],3,FALSE)</f>
        <v>5</v>
      </c>
      <c r="Z52" s="23">
        <f>VLOOKUP(tblRiskRegister32[[#This Row],[Asset Class]],tblInherentImpacts30[],3,FALSE)</f>
        <v>5</v>
      </c>
      <c r="AA52" s="23">
        <f>VLOOKUP(tblRiskRegister32[[#This Row],[Asset Class]],tblInherentImpacts30[],4,FALSE)</f>
        <v>1</v>
      </c>
      <c r="AB52" s="23" t="str">
        <f>IFERROR(MAX(tblRiskRegister32[[#This Row],[Risk Treatment Safeguard Impact to Mission]:[Risk Treatment Safeguard Impact to Obligations]])*tblRiskRegister32[[#This Row],[Risk Treatment
Safeguard Expectancy Score]],"")</f>
        <v/>
      </c>
      <c r="AC52" s="23" t="str">
        <f>IF(tblRiskRegister32[[#This Row],[Risk Score]]&gt;AcceptableRisk,IF(tblRiskRegister32[[#This Row],[Risk Treatment Safeguard Risk Score]]&lt;AcceptableRisk, IF(tblRiskRegister32[[#This Row],[Risk Treatment Safeguard Risk Score]]&lt;=tblRiskRegister32[[#This Row],[Risk Score]],"Yes","No"),"No"),"Yes")</f>
        <v>No</v>
      </c>
      <c r="AD52" s="17"/>
      <c r="AE52" s="17"/>
      <c r="AF52" s="18"/>
    </row>
    <row r="53" spans="2:32" ht="53.25" customHeight="1">
      <c r="B53" s="15" t="s">
        <v>94</v>
      </c>
      <c r="C53" s="50" t="s">
        <v>520</v>
      </c>
      <c r="D53" s="50">
        <v>6.4</v>
      </c>
      <c r="E53" s="14" t="s">
        <v>60</v>
      </c>
      <c r="F53" s="15" t="s">
        <v>556</v>
      </c>
      <c r="G53" s="15" t="s">
        <v>575</v>
      </c>
      <c r="H53" s="16">
        <v>5</v>
      </c>
      <c r="I53" s="24">
        <f>IFERROR(VLOOKUP(tblRiskRegister32[[#This Row],[Asset Class]],tblVCDBIndex[],4,FALSE),"")</f>
        <v>3</v>
      </c>
      <c r="J53" s="24">
        <f>IFERROR(VLOOKUP(10*tblRiskRegister32[[#This Row],[Safeguard Maturity Score]]+tblRiskRegister32[[#This Row],[VCDB Index]],tblHITIndexWeightTable[],4,FALSE),"")</f>
        <v>1</v>
      </c>
      <c r="K53" s="24">
        <f>VLOOKUP(tblRiskRegister32[[#This Row],[Asset Class]],tblInherentImpacts30[],2,FALSE)</f>
        <v>5</v>
      </c>
      <c r="L53" s="24">
        <f>VLOOKUP(tblRiskRegister32[[#This Row],[Asset Class]],tblInherentImpacts30[],3,FALSE)</f>
        <v>5</v>
      </c>
      <c r="M53" s="24">
        <f>VLOOKUP(tblRiskRegister32[[#This Row],[Asset Class]],tblInherentImpacts30[],4,FALSE)</f>
        <v>1</v>
      </c>
      <c r="N53" s="24">
        <f>VLOOKUP(tblRiskRegister32[[#This Row],[Asset Class]],tblInherentImpacts30[],5,FALSE)</f>
        <v>5</v>
      </c>
      <c r="O53" s="24">
        <f>IFERROR(MAX(tblRiskRegister32[[#This Row],[Impact to Mission]:[Impact to Obligations]])*tblRiskRegister32[[#This Row],[Expectancy Score]],"")</f>
        <v>5</v>
      </c>
      <c r="P53" s="24">
        <f>tblRiskRegister32[[#This Row],[Risk Score]]</f>
        <v>5</v>
      </c>
      <c r="Q53" s="50" t="s">
        <v>449</v>
      </c>
      <c r="R53" s="50">
        <v>6.4</v>
      </c>
      <c r="S53" s="15" t="s">
        <v>60</v>
      </c>
      <c r="T53" s="15" t="s">
        <v>326</v>
      </c>
      <c r="U53" s="26"/>
      <c r="V53" s="16"/>
      <c r="W53" s="23" t="str">
        <f>IFERROR(VLOOKUP(10*tblRiskRegister32[[#This Row],[Risk Treatment Safeguard Maturity Score]]+tblRiskRegister32[[#This Row],[VCDB Index]],tblHITIndexWeightTable[],4,FALSE),"")</f>
        <v/>
      </c>
      <c r="X53" s="23">
        <f>VLOOKUP(tblRiskRegister32[[#This Row],[Asset Class]],tblInherentImpacts30[],2,FALSE)</f>
        <v>5</v>
      </c>
      <c r="Y53" s="23">
        <f>VLOOKUP(tblRiskRegister32[[#This Row],[Asset Class]],tblInherentImpacts30[],3,FALSE)</f>
        <v>5</v>
      </c>
      <c r="Z53" s="23">
        <f>VLOOKUP(tblRiskRegister32[[#This Row],[Asset Class]],tblInherentImpacts30[],3,FALSE)</f>
        <v>5</v>
      </c>
      <c r="AA53" s="23">
        <f>VLOOKUP(tblRiskRegister32[[#This Row],[Asset Class]],tblInherentImpacts30[],4,FALSE)</f>
        <v>1</v>
      </c>
      <c r="AB53" s="23" t="str">
        <f>IFERROR(MAX(tblRiskRegister32[[#This Row],[Risk Treatment Safeguard Impact to Mission]:[Risk Treatment Safeguard Impact to Obligations]])*tblRiskRegister32[[#This Row],[Risk Treatment
Safeguard Expectancy Score]],"")</f>
        <v/>
      </c>
      <c r="AC53" s="23" t="str">
        <f>IF(tblRiskRegister32[[#This Row],[Risk Score]]&gt;AcceptableRisk,IF(tblRiskRegister32[[#This Row],[Risk Treatment Safeguard Risk Score]]&lt;AcceptableRisk, IF(tblRiskRegister32[[#This Row],[Risk Treatment Safeguard Risk Score]]&lt;=tblRiskRegister32[[#This Row],[Risk Score]],"Yes","No"),"No"),"Yes")</f>
        <v>Yes</v>
      </c>
      <c r="AD53" s="17"/>
      <c r="AE53" s="17"/>
      <c r="AF53" s="18"/>
    </row>
    <row r="54" spans="2:32" ht="42">
      <c r="B54" s="15" t="s">
        <v>94</v>
      </c>
      <c r="C54" s="50" t="s">
        <v>520</v>
      </c>
      <c r="D54" s="50">
        <v>6.5</v>
      </c>
      <c r="E54" s="14" t="s">
        <v>61</v>
      </c>
      <c r="F54" s="15" t="s">
        <v>557</v>
      </c>
      <c r="G54" s="15" t="s">
        <v>575</v>
      </c>
      <c r="H54" s="16">
        <v>5</v>
      </c>
      <c r="I54" s="24">
        <f>IFERROR(VLOOKUP(tblRiskRegister32[[#This Row],[Asset Class]],tblVCDBIndex[],4,FALSE),"")</f>
        <v>3</v>
      </c>
      <c r="J54" s="24">
        <f>IFERROR(VLOOKUP(10*tblRiskRegister32[[#This Row],[Safeguard Maturity Score]]+tblRiskRegister32[[#This Row],[VCDB Index]],tblHITIndexWeightTable[],4,FALSE),"")</f>
        <v>1</v>
      </c>
      <c r="K54" s="24">
        <f>VLOOKUP(tblRiskRegister32[[#This Row],[Asset Class]],tblInherentImpacts30[],2,FALSE)</f>
        <v>5</v>
      </c>
      <c r="L54" s="24">
        <f>VLOOKUP(tblRiskRegister32[[#This Row],[Asset Class]],tblInherentImpacts30[],3,FALSE)</f>
        <v>5</v>
      </c>
      <c r="M54" s="24">
        <f>VLOOKUP(tblRiskRegister32[[#This Row],[Asset Class]],tblInherentImpacts30[],4,FALSE)</f>
        <v>1</v>
      </c>
      <c r="N54" s="24">
        <f>VLOOKUP(tblRiskRegister32[[#This Row],[Asset Class]],tblInherentImpacts30[],5,FALSE)</f>
        <v>5</v>
      </c>
      <c r="O54" s="24">
        <f>IFERROR(MAX(tblRiskRegister32[[#This Row],[Impact to Mission]:[Impact to Obligations]])*tblRiskRegister32[[#This Row],[Expectancy Score]],"")</f>
        <v>5</v>
      </c>
      <c r="P54" s="24">
        <f>tblRiskRegister32[[#This Row],[Risk Score]]</f>
        <v>5</v>
      </c>
      <c r="Q54" s="50" t="s">
        <v>449</v>
      </c>
      <c r="R54" s="50">
        <v>6.5</v>
      </c>
      <c r="S54" s="15" t="s">
        <v>61</v>
      </c>
      <c r="T54" s="15" t="s">
        <v>327</v>
      </c>
      <c r="U54" s="26"/>
      <c r="V54" s="16"/>
      <c r="W54" s="23" t="str">
        <f>IFERROR(VLOOKUP(10*tblRiskRegister32[[#This Row],[Risk Treatment Safeguard Maturity Score]]+tblRiskRegister32[[#This Row],[VCDB Index]],tblHITIndexWeightTable[],4,FALSE),"")</f>
        <v/>
      </c>
      <c r="X54" s="23">
        <f>VLOOKUP(tblRiskRegister32[[#This Row],[Asset Class]],tblInherentImpacts30[],2,FALSE)</f>
        <v>5</v>
      </c>
      <c r="Y54" s="23">
        <f>VLOOKUP(tblRiskRegister32[[#This Row],[Asset Class]],tblInherentImpacts30[],3,FALSE)</f>
        <v>5</v>
      </c>
      <c r="Z54" s="23">
        <f>VLOOKUP(tblRiskRegister32[[#This Row],[Asset Class]],tblInherentImpacts30[],3,FALSE)</f>
        <v>5</v>
      </c>
      <c r="AA54" s="23">
        <f>VLOOKUP(tblRiskRegister32[[#This Row],[Asset Class]],tblInherentImpacts30[],4,FALSE)</f>
        <v>1</v>
      </c>
      <c r="AB54" s="23" t="str">
        <f>IFERROR(MAX(tblRiskRegister32[[#This Row],[Risk Treatment Safeguard Impact to Mission]:[Risk Treatment Safeguard Impact to Obligations]])*tblRiskRegister32[[#This Row],[Risk Treatment
Safeguard Expectancy Score]],"")</f>
        <v/>
      </c>
      <c r="AC54" s="23" t="str">
        <f>IF(tblRiskRegister32[[#This Row],[Risk Score]]&gt;AcceptableRisk,IF(tblRiskRegister32[[#This Row],[Risk Treatment Safeguard Risk Score]]&lt;AcceptableRisk, IF(tblRiskRegister32[[#This Row],[Risk Treatment Safeguard Risk Score]]&lt;=tblRiskRegister32[[#This Row],[Risk Score]],"Yes","No"),"No"),"Yes")</f>
        <v>Yes</v>
      </c>
      <c r="AD54" s="17"/>
      <c r="AE54" s="17"/>
      <c r="AF54" s="18"/>
    </row>
    <row r="55" spans="2:32" ht="42" hidden="1">
      <c r="B55" s="15" t="s">
        <v>94</v>
      </c>
      <c r="C55" s="50"/>
      <c r="D55" s="50">
        <v>6.6</v>
      </c>
      <c r="E55" s="14" t="s">
        <v>231</v>
      </c>
      <c r="F55" s="15"/>
      <c r="G55" s="15"/>
      <c r="H55" s="16"/>
      <c r="I55" s="24">
        <f>IFERROR(VLOOKUP(tblRiskRegister32[[#This Row],[Asset Class]],tblVCDBIndex[],4,FALSE),"")</f>
        <v>3</v>
      </c>
      <c r="J55" s="24" t="str">
        <f>IFERROR(VLOOKUP(10*tblRiskRegister32[[#This Row],[Safeguard Maturity Score]]+tblRiskRegister32[[#This Row],[VCDB Index]],tblHITIndexWeightTable[],4,FALSE),"")</f>
        <v/>
      </c>
      <c r="K55" s="24">
        <f>VLOOKUP(tblRiskRegister32[[#This Row],[Asset Class]],tblInherentImpacts30[],2,FALSE)</f>
        <v>5</v>
      </c>
      <c r="L55" s="24">
        <f>VLOOKUP(tblRiskRegister32[[#This Row],[Asset Class]],tblInherentImpacts30[],3,FALSE)</f>
        <v>5</v>
      </c>
      <c r="M55" s="24">
        <f>VLOOKUP(tblRiskRegister32[[#This Row],[Asset Class]],tblInherentImpacts30[],4,FALSE)</f>
        <v>1</v>
      </c>
      <c r="N55" s="24">
        <f>VLOOKUP(tblRiskRegister32[[#This Row],[Asset Class]],tblInherentImpacts30[],5,FALSE)</f>
        <v>5</v>
      </c>
      <c r="O55" s="24" t="str">
        <f>IFERROR(MAX(tblRiskRegister32[[#This Row],[Impact to Mission]:[Impact to Obligations]])*tblRiskRegister32[[#This Row],[Expectancy Score]],"")</f>
        <v/>
      </c>
      <c r="P55" s="24" t="str">
        <f>tblRiskRegister32[[#This Row],[Risk Score]]</f>
        <v/>
      </c>
      <c r="Q55" s="50"/>
      <c r="R55" s="50">
        <v>6.6</v>
      </c>
      <c r="S55" s="15" t="s">
        <v>231</v>
      </c>
      <c r="T55" s="15" t="s">
        <v>328</v>
      </c>
      <c r="U55" s="26"/>
      <c r="V55" s="16"/>
      <c r="W55" s="23" t="str">
        <f>IFERROR(VLOOKUP(10*tblRiskRegister32[[#This Row],[Risk Treatment Safeguard Maturity Score]]+tblRiskRegister32[[#This Row],[VCDB Index]],tblHITIndexWeightTable[],4,FALSE),"")</f>
        <v/>
      </c>
      <c r="X55" s="23">
        <f>VLOOKUP(tblRiskRegister32[[#This Row],[Asset Class]],tblInherentImpacts30[],2,FALSE)</f>
        <v>5</v>
      </c>
      <c r="Y55" s="23">
        <f>VLOOKUP(tblRiskRegister32[[#This Row],[Asset Class]],tblInherentImpacts30[],3,FALSE)</f>
        <v>5</v>
      </c>
      <c r="Z55" s="23">
        <f>VLOOKUP(tblRiskRegister32[[#This Row],[Asset Class]],tblInherentImpacts30[],3,FALSE)</f>
        <v>5</v>
      </c>
      <c r="AA55" s="23">
        <f>VLOOKUP(tblRiskRegister32[[#This Row],[Asset Class]],tblInherentImpacts30[],4,FALSE)</f>
        <v>1</v>
      </c>
      <c r="AB55" s="23" t="str">
        <f>IFERROR(MAX(tblRiskRegister32[[#This Row],[Risk Treatment Safeguard Impact to Mission]:[Risk Treatment Safeguard Impact to Obligations]])*tblRiskRegister32[[#This Row],[Risk Treatment
Safeguard Expectancy Score]],"")</f>
        <v/>
      </c>
      <c r="AC55" s="23" t="str">
        <f>IF(tblRiskRegister32[[#This Row],[Risk Score]]&gt;AcceptableRisk,IF(tblRiskRegister32[[#This Row],[Risk Treatment Safeguard Risk Score]]&lt;AcceptableRisk, IF(tblRiskRegister32[[#This Row],[Risk Treatment Safeguard Risk Score]]&lt;=tblRiskRegister32[[#This Row],[Risk Score]],"Yes","No"),"No"),"Yes")</f>
        <v>No</v>
      </c>
      <c r="AD55" s="17"/>
      <c r="AE55" s="17"/>
      <c r="AF55" s="18"/>
    </row>
    <row r="56" spans="2:32" ht="56">
      <c r="B56" s="15" t="s">
        <v>94</v>
      </c>
      <c r="C56" s="50" t="s">
        <v>520</v>
      </c>
      <c r="D56" s="50">
        <v>6.7</v>
      </c>
      <c r="E56" s="14" t="s">
        <v>232</v>
      </c>
      <c r="F56" s="15" t="s">
        <v>558</v>
      </c>
      <c r="G56" s="15" t="s">
        <v>575</v>
      </c>
      <c r="H56" s="16">
        <v>5</v>
      </c>
      <c r="I56" s="24">
        <f>IFERROR(VLOOKUP(tblRiskRegister32[[#This Row],[Asset Class]],tblVCDBIndex[],4,FALSE),"")</f>
        <v>3</v>
      </c>
      <c r="J56" s="24">
        <f>IFERROR(VLOOKUP(10*tblRiskRegister32[[#This Row],[Safeguard Maturity Score]]+tblRiskRegister32[[#This Row],[VCDB Index]],tblHITIndexWeightTable[],4,FALSE),"")</f>
        <v>1</v>
      </c>
      <c r="K56" s="24">
        <f>VLOOKUP(tblRiskRegister32[[#This Row],[Asset Class]],tblInherentImpacts30[],2,FALSE)</f>
        <v>5</v>
      </c>
      <c r="L56" s="24">
        <f>VLOOKUP(tblRiskRegister32[[#This Row],[Asset Class]],tblInherentImpacts30[],3,FALSE)</f>
        <v>5</v>
      </c>
      <c r="M56" s="24">
        <f>VLOOKUP(tblRiskRegister32[[#This Row],[Asset Class]],tblInherentImpacts30[],4,FALSE)</f>
        <v>1</v>
      </c>
      <c r="N56" s="24">
        <f>VLOOKUP(tblRiskRegister32[[#This Row],[Asset Class]],tblInherentImpacts30[],5,FALSE)</f>
        <v>5</v>
      </c>
      <c r="O56" s="24">
        <f>IFERROR(MAX(tblRiskRegister32[[#This Row],[Impact to Mission]:[Impact to Obligations]])*tblRiskRegister32[[#This Row],[Expectancy Score]],"")</f>
        <v>5</v>
      </c>
      <c r="P56" s="24">
        <f>tblRiskRegister32[[#This Row],[Risk Score]]</f>
        <v>5</v>
      </c>
      <c r="Q56" s="50" t="s">
        <v>449</v>
      </c>
      <c r="R56" s="50">
        <v>6.7</v>
      </c>
      <c r="S56" s="15" t="s">
        <v>232</v>
      </c>
      <c r="T56" s="15" t="s">
        <v>329</v>
      </c>
      <c r="U56" s="26"/>
      <c r="V56" s="16"/>
      <c r="W56" s="23" t="str">
        <f>IFERROR(VLOOKUP(10*tblRiskRegister32[[#This Row],[Risk Treatment Safeguard Maturity Score]]+tblRiskRegister32[[#This Row],[VCDB Index]],tblHITIndexWeightTable[],4,FALSE),"")</f>
        <v/>
      </c>
      <c r="X56" s="23">
        <f>VLOOKUP(tblRiskRegister32[[#This Row],[Asset Class]],tblInherentImpacts30[],2,FALSE)</f>
        <v>5</v>
      </c>
      <c r="Y56" s="23">
        <f>VLOOKUP(tblRiskRegister32[[#This Row],[Asset Class]],tblInherentImpacts30[],3,FALSE)</f>
        <v>5</v>
      </c>
      <c r="Z56" s="23">
        <f>VLOOKUP(tblRiskRegister32[[#This Row],[Asset Class]],tblInherentImpacts30[],3,FALSE)</f>
        <v>5</v>
      </c>
      <c r="AA56" s="23">
        <f>VLOOKUP(tblRiskRegister32[[#This Row],[Asset Class]],tblInherentImpacts30[],4,FALSE)</f>
        <v>1</v>
      </c>
      <c r="AB56" s="23" t="str">
        <f>IFERROR(MAX(tblRiskRegister32[[#This Row],[Risk Treatment Safeguard Impact to Mission]:[Risk Treatment Safeguard Impact to Obligations]])*tblRiskRegister32[[#This Row],[Risk Treatment
Safeguard Expectancy Score]],"")</f>
        <v/>
      </c>
      <c r="AC56" s="23" t="str">
        <f>IF(tblRiskRegister32[[#This Row],[Risk Score]]&gt;AcceptableRisk,IF(tblRiskRegister32[[#This Row],[Risk Treatment Safeguard Risk Score]]&lt;AcceptableRisk, IF(tblRiskRegister32[[#This Row],[Risk Treatment Safeguard Risk Score]]&lt;=tblRiskRegister32[[#This Row],[Risk Score]],"Yes","No"),"No"),"Yes")</f>
        <v>Yes</v>
      </c>
      <c r="AD56" s="17"/>
      <c r="AE56" s="17"/>
      <c r="AF56" s="18"/>
    </row>
    <row r="57" spans="2:32" ht="56">
      <c r="B57" s="15" t="s">
        <v>92</v>
      </c>
      <c r="C57" s="50" t="s">
        <v>520</v>
      </c>
      <c r="D57" s="50">
        <v>7.1</v>
      </c>
      <c r="E57" s="14" t="s">
        <v>62</v>
      </c>
      <c r="F57" s="15" t="s">
        <v>559</v>
      </c>
      <c r="G57" s="15" t="s">
        <v>575</v>
      </c>
      <c r="H57" s="16">
        <v>5</v>
      </c>
      <c r="I57" s="24">
        <f>IFERROR(VLOOKUP(tblRiskRegister32[[#This Row],[Asset Class]],tblVCDBIndex[],4,FALSE),"")</f>
        <v>2</v>
      </c>
      <c r="J57" s="24">
        <f>IFERROR(VLOOKUP(10*tblRiskRegister32[[#This Row],[Safeguard Maturity Score]]+tblRiskRegister32[[#This Row],[VCDB Index]],tblHITIndexWeightTable[],4,FALSE),"")</f>
        <v>1</v>
      </c>
      <c r="K57" s="24">
        <f>VLOOKUP(tblRiskRegister32[[#This Row],[Asset Class]],tblInherentImpacts30[],2,FALSE)</f>
        <v>3</v>
      </c>
      <c r="L57" s="24">
        <f>VLOOKUP(tblRiskRegister32[[#This Row],[Asset Class]],tblInherentImpacts30[],3,FALSE)</f>
        <v>4</v>
      </c>
      <c r="M57" s="24">
        <f>VLOOKUP(tblRiskRegister32[[#This Row],[Asset Class]],tblInherentImpacts30[],4,FALSE)</f>
        <v>1</v>
      </c>
      <c r="N57" s="24">
        <f>VLOOKUP(tblRiskRegister32[[#This Row],[Asset Class]],tblInherentImpacts30[],5,FALSE)</f>
        <v>4</v>
      </c>
      <c r="O57" s="24">
        <f>IFERROR(MAX(tblRiskRegister32[[#This Row],[Impact to Mission]:[Impact to Obligations]])*tblRiskRegister32[[#This Row],[Expectancy Score]],"")</f>
        <v>4</v>
      </c>
      <c r="P57" s="24">
        <f>tblRiskRegister32[[#This Row],[Risk Score]]</f>
        <v>4</v>
      </c>
      <c r="Q57" s="50" t="s">
        <v>449</v>
      </c>
      <c r="R57" s="50">
        <v>7.1</v>
      </c>
      <c r="S57" s="15" t="s">
        <v>62</v>
      </c>
      <c r="T57" s="15" t="s">
        <v>330</v>
      </c>
      <c r="U57" s="15"/>
      <c r="V57" s="16"/>
      <c r="W57" s="23" t="str">
        <f>IFERROR(VLOOKUP(10*tblRiskRegister32[[#This Row],[Risk Treatment Safeguard Maturity Score]]+tblRiskRegister32[[#This Row],[VCDB Index]],tblHITIndexWeightTable[],4,FALSE),"")</f>
        <v/>
      </c>
      <c r="X57" s="23">
        <f>VLOOKUP(tblRiskRegister32[[#This Row],[Asset Class]],tblInherentImpacts30[],2,FALSE)</f>
        <v>3</v>
      </c>
      <c r="Y57" s="23">
        <f>VLOOKUP(tblRiskRegister32[[#This Row],[Asset Class]],tblInherentImpacts30[],3,FALSE)</f>
        <v>4</v>
      </c>
      <c r="Z57" s="23">
        <f>VLOOKUP(tblRiskRegister32[[#This Row],[Asset Class]],tblInherentImpacts30[],3,FALSE)</f>
        <v>4</v>
      </c>
      <c r="AA57" s="23">
        <f>VLOOKUP(tblRiskRegister32[[#This Row],[Asset Class]],tblInherentImpacts30[],4,FALSE)</f>
        <v>1</v>
      </c>
      <c r="AB57" s="23" t="str">
        <f>IFERROR(MAX(tblRiskRegister32[[#This Row],[Risk Treatment Safeguard Impact to Mission]:[Risk Treatment Safeguard Impact to Obligations]])*tblRiskRegister32[[#This Row],[Risk Treatment
Safeguard Expectancy Score]],"")</f>
        <v/>
      </c>
      <c r="AC57" s="23" t="str">
        <f>IF(tblRiskRegister32[[#This Row],[Risk Score]]&gt;AcceptableRisk,IF(tblRiskRegister32[[#This Row],[Risk Treatment Safeguard Risk Score]]&lt;AcceptableRisk, IF(tblRiskRegister32[[#This Row],[Risk Treatment Safeguard Risk Score]]&lt;=tblRiskRegister32[[#This Row],[Risk Score]],"Yes","No"),"No"),"Yes")</f>
        <v>Yes</v>
      </c>
      <c r="AD57" s="17"/>
      <c r="AE57" s="17"/>
      <c r="AF57" s="18"/>
    </row>
    <row r="58" spans="2:32" ht="56">
      <c r="B58" s="15" t="s">
        <v>92</v>
      </c>
      <c r="C58" s="50" t="s">
        <v>520</v>
      </c>
      <c r="D58" s="50">
        <v>7.2</v>
      </c>
      <c r="E58" s="14" t="s">
        <v>63</v>
      </c>
      <c r="F58" s="15" t="s">
        <v>560</v>
      </c>
      <c r="G58" s="15" t="s">
        <v>575</v>
      </c>
      <c r="H58" s="16">
        <v>4</v>
      </c>
      <c r="I58" s="24">
        <f>IFERROR(VLOOKUP(tblRiskRegister32[[#This Row],[Asset Class]],tblVCDBIndex[],4,FALSE),"")</f>
        <v>2</v>
      </c>
      <c r="J58" s="24">
        <f>IFERROR(VLOOKUP(10*tblRiskRegister32[[#This Row],[Safeguard Maturity Score]]+tblRiskRegister32[[#This Row],[VCDB Index]],tblHITIndexWeightTable[],4,FALSE),"")</f>
        <v>2</v>
      </c>
      <c r="K58" s="24">
        <f>VLOOKUP(tblRiskRegister32[[#This Row],[Asset Class]],tblInherentImpacts30[],2,FALSE)</f>
        <v>3</v>
      </c>
      <c r="L58" s="24">
        <f>VLOOKUP(tblRiskRegister32[[#This Row],[Asset Class]],tblInherentImpacts30[],3,FALSE)</f>
        <v>4</v>
      </c>
      <c r="M58" s="24">
        <f>VLOOKUP(tblRiskRegister32[[#This Row],[Asset Class]],tblInherentImpacts30[],4,FALSE)</f>
        <v>1</v>
      </c>
      <c r="N58" s="24">
        <f>VLOOKUP(tblRiskRegister32[[#This Row],[Asset Class]],tblInherentImpacts30[],5,FALSE)</f>
        <v>4</v>
      </c>
      <c r="O58" s="24">
        <f>IFERROR(MAX(tblRiskRegister32[[#This Row],[Impact to Mission]:[Impact to Obligations]])*tblRiskRegister32[[#This Row],[Expectancy Score]],"")</f>
        <v>8</v>
      </c>
      <c r="P58" s="24">
        <f>tblRiskRegister32[[#This Row],[Risk Score]]</f>
        <v>8</v>
      </c>
      <c r="Q58" s="50" t="s">
        <v>449</v>
      </c>
      <c r="R58" s="50">
        <v>7.2</v>
      </c>
      <c r="S58" s="15" t="s">
        <v>63</v>
      </c>
      <c r="T58" s="15" t="s">
        <v>331</v>
      </c>
      <c r="U58" s="15"/>
      <c r="V58" s="16"/>
      <c r="W58" s="23" t="str">
        <f>IFERROR(VLOOKUP(10*tblRiskRegister32[[#This Row],[Risk Treatment Safeguard Maturity Score]]+tblRiskRegister32[[#This Row],[VCDB Index]],tblHITIndexWeightTable[],4,FALSE),"")</f>
        <v/>
      </c>
      <c r="X58" s="23">
        <f>VLOOKUP(tblRiskRegister32[[#This Row],[Asset Class]],tblInherentImpacts30[],2,FALSE)</f>
        <v>3</v>
      </c>
      <c r="Y58" s="23">
        <f>VLOOKUP(tblRiskRegister32[[#This Row],[Asset Class]],tblInherentImpacts30[],3,FALSE)</f>
        <v>4</v>
      </c>
      <c r="Z58" s="23">
        <f>VLOOKUP(tblRiskRegister32[[#This Row],[Asset Class]],tblInherentImpacts30[],3,FALSE)</f>
        <v>4</v>
      </c>
      <c r="AA58" s="23">
        <f>VLOOKUP(tblRiskRegister32[[#This Row],[Asset Class]],tblInherentImpacts30[],4,FALSE)</f>
        <v>1</v>
      </c>
      <c r="AB58" s="23" t="str">
        <f>IFERROR(MAX(tblRiskRegister32[[#This Row],[Risk Treatment Safeguard Impact to Mission]:[Risk Treatment Safeguard Impact to Obligations]])*tblRiskRegister32[[#This Row],[Risk Treatment
Safeguard Expectancy Score]],"")</f>
        <v/>
      </c>
      <c r="AC58" s="23" t="str">
        <f>IF(tblRiskRegister32[[#This Row],[Risk Score]]&gt;AcceptableRisk,IF(tblRiskRegister32[[#This Row],[Risk Treatment Safeguard Risk Score]]&lt;AcceptableRisk, IF(tblRiskRegister32[[#This Row],[Risk Treatment Safeguard Risk Score]]&lt;=tblRiskRegister32[[#This Row],[Risk Score]],"Yes","No"),"No"),"Yes")</f>
        <v>Yes</v>
      </c>
      <c r="AD58" s="17"/>
      <c r="AE58" s="17"/>
      <c r="AF58" s="18"/>
    </row>
    <row r="59" spans="2:32" ht="42">
      <c r="B59" s="15" t="s">
        <v>92</v>
      </c>
      <c r="C59" s="50" t="s">
        <v>520</v>
      </c>
      <c r="D59" s="50">
        <v>7.3</v>
      </c>
      <c r="E59" s="14" t="s">
        <v>64</v>
      </c>
      <c r="F59" s="15" t="s">
        <v>561</v>
      </c>
      <c r="G59" s="15" t="s">
        <v>575</v>
      </c>
      <c r="H59" s="16">
        <v>3</v>
      </c>
      <c r="I59" s="24">
        <f>IFERROR(VLOOKUP(tblRiskRegister32[[#This Row],[Asset Class]],tblVCDBIndex[],4,FALSE),"")</f>
        <v>2</v>
      </c>
      <c r="J59" s="24">
        <f>IFERROR(VLOOKUP(10*tblRiskRegister32[[#This Row],[Safeguard Maturity Score]]+tblRiskRegister32[[#This Row],[VCDB Index]],tblHITIndexWeightTable[],4,FALSE),"")</f>
        <v>2</v>
      </c>
      <c r="K59" s="24">
        <f>VLOOKUP(tblRiskRegister32[[#This Row],[Asset Class]],tblInherentImpacts30[],2,FALSE)</f>
        <v>3</v>
      </c>
      <c r="L59" s="24">
        <f>VLOOKUP(tblRiskRegister32[[#This Row],[Asset Class]],tblInherentImpacts30[],3,FALSE)</f>
        <v>4</v>
      </c>
      <c r="M59" s="24">
        <f>VLOOKUP(tblRiskRegister32[[#This Row],[Asset Class]],tblInherentImpacts30[],4,FALSE)</f>
        <v>1</v>
      </c>
      <c r="N59" s="24">
        <f>VLOOKUP(tblRiskRegister32[[#This Row],[Asset Class]],tblInherentImpacts30[],5,FALSE)</f>
        <v>4</v>
      </c>
      <c r="O59" s="24">
        <f>IFERROR(MAX(tblRiskRegister32[[#This Row],[Impact to Mission]:[Impact to Obligations]])*tblRiskRegister32[[#This Row],[Expectancy Score]],"")</f>
        <v>8</v>
      </c>
      <c r="P59" s="24">
        <f>tblRiskRegister32[[#This Row],[Risk Score]]</f>
        <v>8</v>
      </c>
      <c r="Q59" s="50" t="s">
        <v>449</v>
      </c>
      <c r="R59" s="50">
        <v>7.3</v>
      </c>
      <c r="S59" s="15" t="s">
        <v>64</v>
      </c>
      <c r="T59" s="15" t="s">
        <v>332</v>
      </c>
      <c r="U59" s="15"/>
      <c r="V59" s="16"/>
      <c r="W59" s="23" t="str">
        <f>IFERROR(VLOOKUP(10*tblRiskRegister32[[#This Row],[Risk Treatment Safeguard Maturity Score]]+tblRiskRegister32[[#This Row],[VCDB Index]],tblHITIndexWeightTable[],4,FALSE),"")</f>
        <v/>
      </c>
      <c r="X59" s="23">
        <f>VLOOKUP(tblRiskRegister32[[#This Row],[Asset Class]],tblInherentImpacts30[],2,FALSE)</f>
        <v>3</v>
      </c>
      <c r="Y59" s="23">
        <f>VLOOKUP(tblRiskRegister32[[#This Row],[Asset Class]],tblInherentImpacts30[],3,FALSE)</f>
        <v>4</v>
      </c>
      <c r="Z59" s="23">
        <f>VLOOKUP(tblRiskRegister32[[#This Row],[Asset Class]],tblInherentImpacts30[],3,FALSE)</f>
        <v>4</v>
      </c>
      <c r="AA59" s="23">
        <f>VLOOKUP(tblRiskRegister32[[#This Row],[Asset Class]],tblInherentImpacts30[],4,FALSE)</f>
        <v>1</v>
      </c>
      <c r="AB59" s="23" t="str">
        <f>IFERROR(MAX(tblRiskRegister32[[#This Row],[Risk Treatment Safeguard Impact to Mission]:[Risk Treatment Safeguard Impact to Obligations]])*tblRiskRegister32[[#This Row],[Risk Treatment
Safeguard Expectancy Score]],"")</f>
        <v/>
      </c>
      <c r="AC59" s="23" t="str">
        <f>IF(tblRiskRegister32[[#This Row],[Risk Score]]&gt;AcceptableRisk,IF(tblRiskRegister32[[#This Row],[Risk Treatment Safeguard Risk Score]]&lt;AcceptableRisk, IF(tblRiskRegister32[[#This Row],[Risk Treatment Safeguard Risk Score]]&lt;=tblRiskRegister32[[#This Row],[Risk Score]],"Yes","No"),"No"),"Yes")</f>
        <v>Yes</v>
      </c>
      <c r="AD59" s="17"/>
      <c r="AE59" s="17"/>
      <c r="AF59" s="18"/>
    </row>
    <row r="60" spans="2:32" ht="42">
      <c r="B60" s="15" t="s">
        <v>92</v>
      </c>
      <c r="C60" s="50" t="s">
        <v>520</v>
      </c>
      <c r="D60" s="50">
        <v>7.4</v>
      </c>
      <c r="E60" s="14" t="s">
        <v>65</v>
      </c>
      <c r="F60" s="15" t="s">
        <v>562</v>
      </c>
      <c r="G60" s="15" t="s">
        <v>575</v>
      </c>
      <c r="H60" s="16">
        <v>4</v>
      </c>
      <c r="I60" s="24">
        <f>IFERROR(VLOOKUP(tblRiskRegister32[[#This Row],[Asset Class]],tblVCDBIndex[],4,FALSE),"")</f>
        <v>2</v>
      </c>
      <c r="J60" s="24">
        <f>IFERROR(VLOOKUP(10*tblRiskRegister32[[#This Row],[Safeguard Maturity Score]]+tblRiskRegister32[[#This Row],[VCDB Index]],tblHITIndexWeightTable[],4,FALSE),"")</f>
        <v>2</v>
      </c>
      <c r="K60" s="24">
        <f>VLOOKUP(tblRiskRegister32[[#This Row],[Asset Class]],tblInherentImpacts30[],2,FALSE)</f>
        <v>3</v>
      </c>
      <c r="L60" s="24">
        <f>VLOOKUP(tblRiskRegister32[[#This Row],[Asset Class]],tblInherentImpacts30[],3,FALSE)</f>
        <v>4</v>
      </c>
      <c r="M60" s="24">
        <f>VLOOKUP(tblRiskRegister32[[#This Row],[Asset Class]],tblInherentImpacts30[],4,FALSE)</f>
        <v>1</v>
      </c>
      <c r="N60" s="24">
        <f>VLOOKUP(tblRiskRegister32[[#This Row],[Asset Class]],tblInherentImpacts30[],5,FALSE)</f>
        <v>4</v>
      </c>
      <c r="O60" s="24">
        <f>IFERROR(MAX(tblRiskRegister32[[#This Row],[Impact to Mission]:[Impact to Obligations]])*tblRiskRegister32[[#This Row],[Expectancy Score]],"")</f>
        <v>8</v>
      </c>
      <c r="P60" s="24">
        <f>tblRiskRegister32[[#This Row],[Risk Score]]</f>
        <v>8</v>
      </c>
      <c r="Q60" s="50" t="s">
        <v>449</v>
      </c>
      <c r="R60" s="50">
        <v>7.4</v>
      </c>
      <c r="S60" s="15" t="s">
        <v>65</v>
      </c>
      <c r="T60" s="15" t="s">
        <v>333</v>
      </c>
      <c r="U60" s="15"/>
      <c r="V60" s="16"/>
      <c r="W60" s="23" t="str">
        <f>IFERROR(VLOOKUP(10*tblRiskRegister32[[#This Row],[Risk Treatment Safeguard Maturity Score]]+tblRiskRegister32[[#This Row],[VCDB Index]],tblHITIndexWeightTable[],4,FALSE),"")</f>
        <v/>
      </c>
      <c r="X60" s="23">
        <f>VLOOKUP(tblRiskRegister32[[#This Row],[Asset Class]],tblInherentImpacts30[],2,FALSE)</f>
        <v>3</v>
      </c>
      <c r="Y60" s="23">
        <f>VLOOKUP(tblRiskRegister32[[#This Row],[Asset Class]],tblInherentImpacts30[],3,FALSE)</f>
        <v>4</v>
      </c>
      <c r="Z60" s="23">
        <f>VLOOKUP(tblRiskRegister32[[#This Row],[Asset Class]],tblInherentImpacts30[],3,FALSE)</f>
        <v>4</v>
      </c>
      <c r="AA60" s="23">
        <f>VLOOKUP(tblRiskRegister32[[#This Row],[Asset Class]],tblInherentImpacts30[],4,FALSE)</f>
        <v>1</v>
      </c>
      <c r="AB60" s="23" t="str">
        <f>IFERROR(MAX(tblRiskRegister32[[#This Row],[Risk Treatment Safeguard Impact to Mission]:[Risk Treatment Safeguard Impact to Obligations]])*tblRiskRegister32[[#This Row],[Risk Treatment
Safeguard Expectancy Score]],"")</f>
        <v/>
      </c>
      <c r="AC60" s="23" t="str">
        <f>IF(tblRiskRegister32[[#This Row],[Risk Score]]&gt;AcceptableRisk,IF(tblRiskRegister32[[#This Row],[Risk Treatment Safeguard Risk Score]]&lt;AcceptableRisk, IF(tblRiskRegister32[[#This Row],[Risk Treatment Safeguard Risk Score]]&lt;=tblRiskRegister32[[#This Row],[Risk Score]],"Yes","No"),"No"),"Yes")</f>
        <v>Yes</v>
      </c>
      <c r="AD60" s="17"/>
      <c r="AE60" s="17"/>
      <c r="AF60" s="18"/>
    </row>
    <row r="61" spans="2:32" ht="56">
      <c r="B61" s="15" t="s">
        <v>92</v>
      </c>
      <c r="C61" s="50" t="s">
        <v>520</v>
      </c>
      <c r="D61" s="50">
        <v>7.5</v>
      </c>
      <c r="E61" s="14" t="s">
        <v>163</v>
      </c>
      <c r="F61" s="15" t="s">
        <v>563</v>
      </c>
      <c r="G61" s="15" t="s">
        <v>585</v>
      </c>
      <c r="H61" s="16">
        <v>2</v>
      </c>
      <c r="I61" s="24">
        <f>IFERROR(VLOOKUP(tblRiskRegister32[[#This Row],[Asset Class]],tblVCDBIndex[],4,FALSE),"")</f>
        <v>2</v>
      </c>
      <c r="J61" s="24">
        <f>IFERROR(VLOOKUP(10*tblRiskRegister32[[#This Row],[Safeguard Maturity Score]]+tblRiskRegister32[[#This Row],[VCDB Index]],tblHITIndexWeightTable[],4,FALSE),"")</f>
        <v>3</v>
      </c>
      <c r="K61" s="24">
        <f>VLOOKUP(tblRiskRegister32[[#This Row],[Asset Class]],tblInherentImpacts30[],2,FALSE)</f>
        <v>3</v>
      </c>
      <c r="L61" s="24">
        <f>VLOOKUP(tblRiskRegister32[[#This Row],[Asset Class]],tblInherentImpacts30[],3,FALSE)</f>
        <v>4</v>
      </c>
      <c r="M61" s="24">
        <f>VLOOKUP(tblRiskRegister32[[#This Row],[Asset Class]],tblInherentImpacts30[],4,FALSE)</f>
        <v>1</v>
      </c>
      <c r="N61" s="24">
        <f>VLOOKUP(tblRiskRegister32[[#This Row],[Asset Class]],tblInherentImpacts30[],5,FALSE)</f>
        <v>4</v>
      </c>
      <c r="O61" s="24">
        <f>IFERROR(MAX(tblRiskRegister32[[#This Row],[Impact to Mission]:[Impact to Obligations]])*tblRiskRegister32[[#This Row],[Expectancy Score]],"")</f>
        <v>12</v>
      </c>
      <c r="P61" s="24">
        <f>tblRiskRegister32[[#This Row],[Risk Score]]</f>
        <v>12</v>
      </c>
      <c r="Q61" s="50" t="s">
        <v>448</v>
      </c>
      <c r="R61" s="50">
        <v>7.5</v>
      </c>
      <c r="S61" s="15" t="s">
        <v>163</v>
      </c>
      <c r="T61" s="15" t="s">
        <v>334</v>
      </c>
      <c r="U61" s="15"/>
      <c r="V61" s="16"/>
      <c r="W61" s="23" t="str">
        <f>IFERROR(VLOOKUP(10*tblRiskRegister32[[#This Row],[Risk Treatment Safeguard Maturity Score]]+tblRiskRegister32[[#This Row],[VCDB Index]],tblHITIndexWeightTable[],4,FALSE),"")</f>
        <v/>
      </c>
      <c r="X61" s="23">
        <f>VLOOKUP(tblRiskRegister32[[#This Row],[Asset Class]],tblInherentImpacts30[],2,FALSE)</f>
        <v>3</v>
      </c>
      <c r="Y61" s="23">
        <f>VLOOKUP(tblRiskRegister32[[#This Row],[Asset Class]],tblInherentImpacts30[],3,FALSE)</f>
        <v>4</v>
      </c>
      <c r="Z61" s="23">
        <f>VLOOKUP(tblRiskRegister32[[#This Row],[Asset Class]],tblInherentImpacts30[],3,FALSE)</f>
        <v>4</v>
      </c>
      <c r="AA61" s="23">
        <f>VLOOKUP(tblRiskRegister32[[#This Row],[Asset Class]],tblInherentImpacts30[],4,FALSE)</f>
        <v>1</v>
      </c>
      <c r="AB61" s="23" t="str">
        <f>IFERROR(MAX(tblRiskRegister32[[#This Row],[Risk Treatment Safeguard Impact to Mission]:[Risk Treatment Safeguard Impact to Obligations]])*tblRiskRegister32[[#This Row],[Risk Treatment
Safeguard Expectancy Score]],"")</f>
        <v/>
      </c>
      <c r="AC61" s="23" t="str">
        <f>IF(tblRiskRegister32[[#This Row],[Risk Score]]&gt;AcceptableRisk,IF(tblRiskRegister32[[#This Row],[Risk Treatment Safeguard Risk Score]]&lt;AcceptableRisk, IF(tblRiskRegister32[[#This Row],[Risk Treatment Safeguard Risk Score]]&lt;=tblRiskRegister32[[#This Row],[Risk Score]],"Yes","No"),"No"),"Yes")</f>
        <v>No</v>
      </c>
      <c r="AD61" s="17"/>
      <c r="AE61" s="17"/>
      <c r="AF61" s="18"/>
    </row>
    <row r="62" spans="2:32" ht="42">
      <c r="B62" s="15" t="s">
        <v>92</v>
      </c>
      <c r="C62" s="50" t="s">
        <v>520</v>
      </c>
      <c r="D62" s="50">
        <v>7.6</v>
      </c>
      <c r="E62" s="14" t="s">
        <v>164</v>
      </c>
      <c r="F62" s="15" t="s">
        <v>542</v>
      </c>
      <c r="G62" s="15" t="s">
        <v>578</v>
      </c>
      <c r="H62" s="16">
        <v>1</v>
      </c>
      <c r="I62" s="24">
        <f>IFERROR(VLOOKUP(tblRiskRegister32[[#This Row],[Asset Class]],tblVCDBIndex[],4,FALSE),"")</f>
        <v>2</v>
      </c>
      <c r="J62" s="24">
        <f>IFERROR(VLOOKUP(10*tblRiskRegister32[[#This Row],[Safeguard Maturity Score]]+tblRiskRegister32[[#This Row],[VCDB Index]],tblHITIndexWeightTable[],4,FALSE),"")</f>
        <v>4</v>
      </c>
      <c r="K62" s="24">
        <f>VLOOKUP(tblRiskRegister32[[#This Row],[Asset Class]],tblInherentImpacts30[],2,FALSE)</f>
        <v>3</v>
      </c>
      <c r="L62" s="24">
        <f>VLOOKUP(tblRiskRegister32[[#This Row],[Asset Class]],tblInherentImpacts30[],3,FALSE)</f>
        <v>4</v>
      </c>
      <c r="M62" s="24">
        <f>VLOOKUP(tblRiskRegister32[[#This Row],[Asset Class]],tblInherentImpacts30[],4,FALSE)</f>
        <v>1</v>
      </c>
      <c r="N62" s="24">
        <f>VLOOKUP(tblRiskRegister32[[#This Row],[Asset Class]],tblInherentImpacts30[],5,FALSE)</f>
        <v>4</v>
      </c>
      <c r="O62" s="24">
        <f>IFERROR(MAX(tblRiskRegister32[[#This Row],[Impact to Mission]:[Impact to Obligations]])*tblRiskRegister32[[#This Row],[Expectancy Score]],"")</f>
        <v>16</v>
      </c>
      <c r="P62" s="24">
        <f>tblRiskRegister32[[#This Row],[Risk Score]]</f>
        <v>16</v>
      </c>
      <c r="Q62" s="50" t="s">
        <v>448</v>
      </c>
      <c r="R62" s="50">
        <v>7.6</v>
      </c>
      <c r="S62" s="15" t="s">
        <v>164</v>
      </c>
      <c r="T62" s="15" t="s">
        <v>335</v>
      </c>
      <c r="U62" s="15"/>
      <c r="V62" s="16"/>
      <c r="W62" s="23" t="str">
        <f>IFERROR(VLOOKUP(10*tblRiskRegister32[[#This Row],[Risk Treatment Safeguard Maturity Score]]+tblRiskRegister32[[#This Row],[VCDB Index]],tblHITIndexWeightTable[],4,FALSE),"")</f>
        <v/>
      </c>
      <c r="X62" s="23">
        <f>VLOOKUP(tblRiskRegister32[[#This Row],[Asset Class]],tblInherentImpacts30[],2,FALSE)</f>
        <v>3</v>
      </c>
      <c r="Y62" s="23">
        <f>VLOOKUP(tblRiskRegister32[[#This Row],[Asset Class]],tblInherentImpacts30[],3,FALSE)</f>
        <v>4</v>
      </c>
      <c r="Z62" s="23">
        <f>VLOOKUP(tblRiskRegister32[[#This Row],[Asset Class]],tblInherentImpacts30[],3,FALSE)</f>
        <v>4</v>
      </c>
      <c r="AA62" s="23">
        <f>VLOOKUP(tblRiskRegister32[[#This Row],[Asset Class]],tblInherentImpacts30[],4,FALSE)</f>
        <v>1</v>
      </c>
      <c r="AB62" s="23" t="str">
        <f>IFERROR(MAX(tblRiskRegister32[[#This Row],[Risk Treatment Safeguard Impact to Mission]:[Risk Treatment Safeguard Impact to Obligations]])*tblRiskRegister32[[#This Row],[Risk Treatment
Safeguard Expectancy Score]],"")</f>
        <v/>
      </c>
      <c r="AC62" s="23" t="str">
        <f>IF(tblRiskRegister32[[#This Row],[Risk Score]]&gt;AcceptableRisk,IF(tblRiskRegister32[[#This Row],[Risk Treatment Safeguard Risk Score]]&lt;AcceptableRisk, IF(tblRiskRegister32[[#This Row],[Risk Treatment Safeguard Risk Score]]&lt;=tblRiskRegister32[[#This Row],[Risk Score]],"Yes","No"),"No"),"Yes")</f>
        <v>No</v>
      </c>
      <c r="AD62" s="17"/>
      <c r="AE62" s="17"/>
      <c r="AF62" s="18"/>
    </row>
    <row r="63" spans="2:32" ht="42">
      <c r="B63" s="15" t="s">
        <v>92</v>
      </c>
      <c r="C63" s="50" t="s">
        <v>520</v>
      </c>
      <c r="D63" s="50">
        <v>7.7</v>
      </c>
      <c r="E63" s="14" t="s">
        <v>165</v>
      </c>
      <c r="F63" s="15" t="s">
        <v>564</v>
      </c>
      <c r="G63" s="15" t="s">
        <v>575</v>
      </c>
      <c r="H63" s="16">
        <v>4</v>
      </c>
      <c r="I63" s="24">
        <f>IFERROR(VLOOKUP(tblRiskRegister32[[#This Row],[Asset Class]],tblVCDBIndex[],4,FALSE),"")</f>
        <v>2</v>
      </c>
      <c r="J63" s="24">
        <f>IFERROR(VLOOKUP(10*tblRiskRegister32[[#This Row],[Safeguard Maturity Score]]+tblRiskRegister32[[#This Row],[VCDB Index]],tblHITIndexWeightTable[],4,FALSE),"")</f>
        <v>2</v>
      </c>
      <c r="K63" s="24">
        <f>VLOOKUP(tblRiskRegister32[[#This Row],[Asset Class]],tblInherentImpacts30[],2,FALSE)</f>
        <v>3</v>
      </c>
      <c r="L63" s="24">
        <f>VLOOKUP(tblRiskRegister32[[#This Row],[Asset Class]],tblInherentImpacts30[],3,FALSE)</f>
        <v>4</v>
      </c>
      <c r="M63" s="24">
        <f>VLOOKUP(tblRiskRegister32[[#This Row],[Asset Class]],tblInherentImpacts30[],4,FALSE)</f>
        <v>1</v>
      </c>
      <c r="N63" s="24">
        <f>VLOOKUP(tblRiskRegister32[[#This Row],[Asset Class]],tblInherentImpacts30[],5,FALSE)</f>
        <v>4</v>
      </c>
      <c r="O63" s="24">
        <f>IFERROR(MAX(tblRiskRegister32[[#This Row],[Impact to Mission]:[Impact to Obligations]])*tblRiskRegister32[[#This Row],[Expectancy Score]],"")</f>
        <v>8</v>
      </c>
      <c r="P63" s="24">
        <f>tblRiskRegister32[[#This Row],[Risk Score]]</f>
        <v>8</v>
      </c>
      <c r="Q63" s="50" t="s">
        <v>449</v>
      </c>
      <c r="R63" s="50">
        <v>7.7</v>
      </c>
      <c r="S63" s="15" t="s">
        <v>165</v>
      </c>
      <c r="T63" s="15" t="s">
        <v>336</v>
      </c>
      <c r="U63" s="15"/>
      <c r="V63" s="16"/>
      <c r="W63" s="23" t="str">
        <f>IFERROR(VLOOKUP(10*tblRiskRegister32[[#This Row],[Risk Treatment Safeguard Maturity Score]]+tblRiskRegister32[[#This Row],[VCDB Index]],tblHITIndexWeightTable[],4,FALSE),"")</f>
        <v/>
      </c>
      <c r="X63" s="23">
        <f>VLOOKUP(tblRiskRegister32[[#This Row],[Asset Class]],tblInherentImpacts30[],2,FALSE)</f>
        <v>3</v>
      </c>
      <c r="Y63" s="23">
        <f>VLOOKUP(tblRiskRegister32[[#This Row],[Asset Class]],tblInherentImpacts30[],3,FALSE)</f>
        <v>4</v>
      </c>
      <c r="Z63" s="23">
        <f>VLOOKUP(tblRiskRegister32[[#This Row],[Asset Class]],tblInherentImpacts30[],3,FALSE)</f>
        <v>4</v>
      </c>
      <c r="AA63" s="23">
        <f>VLOOKUP(tblRiskRegister32[[#This Row],[Asset Class]],tblInherentImpacts30[],4,FALSE)</f>
        <v>1</v>
      </c>
      <c r="AB63" s="23" t="str">
        <f>IFERROR(MAX(tblRiskRegister32[[#This Row],[Risk Treatment Safeguard Impact to Mission]:[Risk Treatment Safeguard Impact to Obligations]])*tblRiskRegister32[[#This Row],[Risk Treatment
Safeguard Expectancy Score]],"")</f>
        <v/>
      </c>
      <c r="AC63" s="23" t="str">
        <f>IF(tblRiskRegister32[[#This Row],[Risk Score]]&gt;AcceptableRisk,IF(tblRiskRegister32[[#This Row],[Risk Treatment Safeguard Risk Score]]&lt;AcceptableRisk, IF(tblRiskRegister32[[#This Row],[Risk Treatment Safeguard Risk Score]]&lt;=tblRiskRegister32[[#This Row],[Risk Score]],"Yes","No"),"No"),"Yes")</f>
        <v>Yes</v>
      </c>
      <c r="AD63" s="17"/>
      <c r="AE63" s="17"/>
      <c r="AF63" s="18"/>
    </row>
    <row r="64" spans="2:32" ht="56" hidden="1">
      <c r="B64" s="15" t="s">
        <v>93</v>
      </c>
      <c r="C64" s="50"/>
      <c r="D64" s="50">
        <v>8.1</v>
      </c>
      <c r="E64" s="14" t="s">
        <v>66</v>
      </c>
      <c r="F64" s="15"/>
      <c r="G64" s="15"/>
      <c r="H64" s="16"/>
      <c r="I64" s="24">
        <f>IFERROR(VLOOKUP(tblRiskRegister32[[#This Row],[Asset Class]],tblVCDBIndex[],4,FALSE),"")</f>
        <v>1</v>
      </c>
      <c r="J64" s="24" t="str">
        <f>IFERROR(VLOOKUP(10*tblRiskRegister32[[#This Row],[Safeguard Maturity Score]]+tblRiskRegister32[[#This Row],[VCDB Index]],tblHITIndexWeightTable[],4,FALSE),"")</f>
        <v/>
      </c>
      <c r="K64" s="24">
        <f>VLOOKUP(tblRiskRegister32[[#This Row],[Asset Class]],tblInherentImpacts30[],2,FALSE)</f>
        <v>4</v>
      </c>
      <c r="L64" s="24">
        <f>VLOOKUP(tblRiskRegister32[[#This Row],[Asset Class]],tblInherentImpacts30[],3,FALSE)</f>
        <v>5</v>
      </c>
      <c r="M64" s="24">
        <f>VLOOKUP(tblRiskRegister32[[#This Row],[Asset Class]],tblInherentImpacts30[],4,FALSE)</f>
        <v>1</v>
      </c>
      <c r="N64" s="24">
        <f>VLOOKUP(tblRiskRegister32[[#This Row],[Asset Class]],tblInherentImpacts30[],5,FALSE)</f>
        <v>5</v>
      </c>
      <c r="O64" s="24" t="str">
        <f>IFERROR(MAX(tblRiskRegister32[[#This Row],[Impact to Mission]:[Impact to Obligations]])*tblRiskRegister32[[#This Row],[Expectancy Score]],"")</f>
        <v/>
      </c>
      <c r="P64" s="24" t="str">
        <f>tblRiskRegister32[[#This Row],[Risk Score]]</f>
        <v/>
      </c>
      <c r="Q64" s="50"/>
      <c r="R64" s="50">
        <v>8.1</v>
      </c>
      <c r="S64" s="15" t="s">
        <v>66</v>
      </c>
      <c r="T64" s="15" t="s">
        <v>337</v>
      </c>
      <c r="U64" s="26"/>
      <c r="V64" s="16"/>
      <c r="W64" s="23" t="str">
        <f>IFERROR(VLOOKUP(10*tblRiskRegister32[[#This Row],[Risk Treatment Safeguard Maturity Score]]+tblRiskRegister32[[#This Row],[VCDB Index]],tblHITIndexWeightTable[],4,FALSE),"")</f>
        <v/>
      </c>
      <c r="X64" s="23">
        <f>VLOOKUP(tblRiskRegister32[[#This Row],[Asset Class]],tblInherentImpacts30[],2,FALSE)</f>
        <v>4</v>
      </c>
      <c r="Y64" s="23">
        <f>VLOOKUP(tblRiskRegister32[[#This Row],[Asset Class]],tblInherentImpacts30[],3,FALSE)</f>
        <v>5</v>
      </c>
      <c r="Z64" s="23">
        <f>VLOOKUP(tblRiskRegister32[[#This Row],[Asset Class]],tblInherentImpacts30[],3,FALSE)</f>
        <v>5</v>
      </c>
      <c r="AA64" s="23">
        <f>VLOOKUP(tblRiskRegister32[[#This Row],[Asset Class]],tblInherentImpacts30[],4,FALSE)</f>
        <v>1</v>
      </c>
      <c r="AB64" s="23" t="str">
        <f>IFERROR(MAX(tblRiskRegister32[[#This Row],[Risk Treatment Safeguard Impact to Mission]:[Risk Treatment Safeguard Impact to Obligations]])*tblRiskRegister32[[#This Row],[Risk Treatment
Safeguard Expectancy Score]],"")</f>
        <v/>
      </c>
      <c r="AC64" s="23" t="str">
        <f>IF(tblRiskRegister32[[#This Row],[Risk Score]]&gt;AcceptableRisk,IF(tblRiskRegister32[[#This Row],[Risk Treatment Safeguard Risk Score]]&lt;AcceptableRisk, IF(tblRiskRegister32[[#This Row],[Risk Treatment Safeguard Risk Score]]&lt;=tblRiskRegister32[[#This Row],[Risk Score]],"Yes","No"),"No"),"Yes")</f>
        <v>No</v>
      </c>
      <c r="AD64" s="17"/>
      <c r="AE64" s="17"/>
      <c r="AF64" s="18"/>
    </row>
    <row r="65" spans="2:32" ht="14" hidden="1">
      <c r="B65" s="15" t="s">
        <v>93</v>
      </c>
      <c r="C65" s="50"/>
      <c r="D65" s="174">
        <v>8.1</v>
      </c>
      <c r="E65" s="14" t="s">
        <v>213</v>
      </c>
      <c r="F65" s="15"/>
      <c r="G65" s="15"/>
      <c r="H65" s="16"/>
      <c r="I65" s="24">
        <f>IFERROR(VLOOKUP(tblRiskRegister32[[#This Row],[Asset Class]],tblVCDBIndex[],4,FALSE),"")</f>
        <v>1</v>
      </c>
      <c r="J65" s="24" t="str">
        <f>IFERROR(VLOOKUP(10*tblRiskRegister32[[#This Row],[Safeguard Maturity Score]]+tblRiskRegister32[[#This Row],[VCDB Index]],tblHITIndexWeightTable[],4,FALSE),"")</f>
        <v/>
      </c>
      <c r="K65" s="24">
        <f>VLOOKUP(tblRiskRegister32[[#This Row],[Asset Class]],tblInherentImpacts30[],2,FALSE)</f>
        <v>4</v>
      </c>
      <c r="L65" s="24">
        <f>VLOOKUP(tblRiskRegister32[[#This Row],[Asset Class]],tblInherentImpacts30[],3,FALSE)</f>
        <v>5</v>
      </c>
      <c r="M65" s="24">
        <f>VLOOKUP(tblRiskRegister32[[#This Row],[Asset Class]],tblInherentImpacts30[],4,FALSE)</f>
        <v>1</v>
      </c>
      <c r="N65" s="24">
        <f>VLOOKUP(tblRiskRegister32[[#This Row],[Asset Class]],tblInherentImpacts30[],5,FALSE)</f>
        <v>5</v>
      </c>
      <c r="O65" s="24" t="str">
        <f>IFERROR(MAX(tblRiskRegister32[[#This Row],[Impact to Mission]:[Impact to Obligations]])*tblRiskRegister32[[#This Row],[Expectancy Score]],"")</f>
        <v/>
      </c>
      <c r="P65" s="24" t="str">
        <f>tblRiskRegister32[[#This Row],[Risk Score]]</f>
        <v/>
      </c>
      <c r="Q65" s="50"/>
      <c r="R65" s="50">
        <v>8.1</v>
      </c>
      <c r="S65" s="15" t="s">
        <v>213</v>
      </c>
      <c r="T65" s="15" t="s">
        <v>346</v>
      </c>
      <c r="U65" s="26"/>
      <c r="V65" s="16"/>
      <c r="W65" s="23" t="str">
        <f>IFERROR(VLOOKUP(10*tblRiskRegister32[[#This Row],[Risk Treatment Safeguard Maturity Score]]+tblRiskRegister32[[#This Row],[VCDB Index]],tblHITIndexWeightTable[],4,FALSE),"")</f>
        <v/>
      </c>
      <c r="X65" s="23">
        <f>VLOOKUP(tblRiskRegister32[[#This Row],[Asset Class]],tblInherentImpacts30[],2,FALSE)</f>
        <v>4</v>
      </c>
      <c r="Y65" s="23">
        <f>VLOOKUP(tblRiskRegister32[[#This Row],[Asset Class]],tblInherentImpacts30[],3,FALSE)</f>
        <v>5</v>
      </c>
      <c r="Z65" s="23">
        <f>VLOOKUP(tblRiskRegister32[[#This Row],[Asset Class]],tblInherentImpacts30[],3,FALSE)</f>
        <v>5</v>
      </c>
      <c r="AA65" s="23">
        <f>VLOOKUP(tblRiskRegister32[[#This Row],[Asset Class]],tblInherentImpacts30[],4,FALSE)</f>
        <v>1</v>
      </c>
      <c r="AB65" s="23" t="str">
        <f>IFERROR(MAX(tblRiskRegister32[[#This Row],[Risk Treatment Safeguard Impact to Mission]:[Risk Treatment Safeguard Impact to Obligations]])*tblRiskRegister32[[#This Row],[Risk Treatment
Safeguard Expectancy Score]],"")</f>
        <v/>
      </c>
      <c r="AC65" s="23" t="str">
        <f>IF(tblRiskRegister32[[#This Row],[Risk Score]]&gt;AcceptableRisk,IF(tblRiskRegister32[[#This Row],[Risk Treatment Safeguard Risk Score]]&lt;AcceptableRisk, IF(tblRiskRegister32[[#This Row],[Risk Treatment Safeguard Risk Score]]&lt;=tblRiskRegister32[[#This Row],[Risk Score]],"Yes","No"),"No"),"Yes")</f>
        <v>No</v>
      </c>
      <c r="AD65" s="17"/>
      <c r="AE65" s="17"/>
      <c r="AF65" s="18"/>
    </row>
    <row r="66" spans="2:32" ht="28" hidden="1">
      <c r="B66" s="15" t="s">
        <v>93</v>
      </c>
      <c r="C66" s="50"/>
      <c r="D66" s="50">
        <v>8.11</v>
      </c>
      <c r="E66" s="14" t="s">
        <v>214</v>
      </c>
      <c r="F66" s="15"/>
      <c r="G66" s="15"/>
      <c r="H66" s="16"/>
      <c r="I66" s="24">
        <f>IFERROR(VLOOKUP(tblRiskRegister32[[#This Row],[Asset Class]],tblVCDBIndex[],4,FALSE),"")</f>
        <v>1</v>
      </c>
      <c r="J66" s="24" t="str">
        <f>IFERROR(VLOOKUP(10*tblRiskRegister32[[#This Row],[Safeguard Maturity Score]]+tblRiskRegister32[[#This Row],[VCDB Index]],tblHITIndexWeightTable[],4,FALSE),"")</f>
        <v/>
      </c>
      <c r="K66" s="24">
        <f>VLOOKUP(tblRiskRegister32[[#This Row],[Asset Class]],tblInherentImpacts30[],2,FALSE)</f>
        <v>4</v>
      </c>
      <c r="L66" s="24">
        <f>VLOOKUP(tblRiskRegister32[[#This Row],[Asset Class]],tblInherentImpacts30[],3,FALSE)</f>
        <v>5</v>
      </c>
      <c r="M66" s="24">
        <f>VLOOKUP(tblRiskRegister32[[#This Row],[Asset Class]],tblInherentImpacts30[],4,FALSE)</f>
        <v>1</v>
      </c>
      <c r="N66" s="24">
        <f>VLOOKUP(tblRiskRegister32[[#This Row],[Asset Class]],tblInherentImpacts30[],5,FALSE)</f>
        <v>5</v>
      </c>
      <c r="O66" s="24" t="str">
        <f>IFERROR(MAX(tblRiskRegister32[[#This Row],[Impact to Mission]:[Impact to Obligations]])*tblRiskRegister32[[#This Row],[Expectancy Score]],"")</f>
        <v/>
      </c>
      <c r="P66" s="24" t="str">
        <f>tblRiskRegister32[[#This Row],[Risk Score]]</f>
        <v/>
      </c>
      <c r="Q66" s="50"/>
      <c r="R66" s="50">
        <v>8.11</v>
      </c>
      <c r="S66" s="15" t="s">
        <v>214</v>
      </c>
      <c r="T66" s="15" t="s">
        <v>347</v>
      </c>
      <c r="U66" s="26"/>
      <c r="V66" s="16"/>
      <c r="W66" s="23" t="str">
        <f>IFERROR(VLOOKUP(10*tblRiskRegister32[[#This Row],[Risk Treatment Safeguard Maturity Score]]+tblRiskRegister32[[#This Row],[VCDB Index]],tblHITIndexWeightTable[],4,FALSE),"")</f>
        <v/>
      </c>
      <c r="X66" s="23">
        <f>VLOOKUP(tblRiskRegister32[[#This Row],[Asset Class]],tblInherentImpacts30[],2,FALSE)</f>
        <v>4</v>
      </c>
      <c r="Y66" s="23">
        <f>VLOOKUP(tblRiskRegister32[[#This Row],[Asset Class]],tblInherentImpacts30[],3,FALSE)</f>
        <v>5</v>
      </c>
      <c r="Z66" s="23">
        <f>VLOOKUP(tblRiskRegister32[[#This Row],[Asset Class]],tblInherentImpacts30[],3,FALSE)</f>
        <v>5</v>
      </c>
      <c r="AA66" s="23">
        <f>VLOOKUP(tblRiskRegister32[[#This Row],[Asset Class]],tblInherentImpacts30[],4,FALSE)</f>
        <v>1</v>
      </c>
      <c r="AB66" s="23" t="str">
        <f>IFERROR(MAX(tblRiskRegister32[[#This Row],[Risk Treatment Safeguard Impact to Mission]:[Risk Treatment Safeguard Impact to Obligations]])*tblRiskRegister32[[#This Row],[Risk Treatment
Safeguard Expectancy Score]],"")</f>
        <v/>
      </c>
      <c r="AC66" s="23" t="str">
        <f>IF(tblRiskRegister32[[#This Row],[Risk Score]]&gt;AcceptableRisk,IF(tblRiskRegister32[[#This Row],[Risk Treatment Safeguard Risk Score]]&lt;AcceptableRisk, IF(tblRiskRegister32[[#This Row],[Risk Treatment Safeguard Risk Score]]&lt;=tblRiskRegister32[[#This Row],[Risk Score]],"Yes","No"),"No"),"Yes")</f>
        <v>No</v>
      </c>
      <c r="AD66" s="17"/>
      <c r="AE66" s="17"/>
      <c r="AF66" s="18"/>
    </row>
    <row r="67" spans="2:32" ht="28" hidden="1">
      <c r="B67" s="15" t="s">
        <v>93</v>
      </c>
      <c r="C67" s="50"/>
      <c r="D67" s="50">
        <v>8.1999999999999993</v>
      </c>
      <c r="E67" s="14" t="s">
        <v>67</v>
      </c>
      <c r="F67" s="15"/>
      <c r="G67" s="15"/>
      <c r="H67" s="16"/>
      <c r="I67" s="24">
        <f>IFERROR(VLOOKUP(tblRiskRegister32[[#This Row],[Asset Class]],tblVCDBIndex[],4,FALSE),"")</f>
        <v>1</v>
      </c>
      <c r="J67" s="24" t="str">
        <f>IFERROR(VLOOKUP(10*tblRiskRegister32[[#This Row],[Safeguard Maturity Score]]+tblRiskRegister32[[#This Row],[VCDB Index]],tblHITIndexWeightTable[],4,FALSE),"")</f>
        <v/>
      </c>
      <c r="K67" s="24">
        <f>VLOOKUP(tblRiskRegister32[[#This Row],[Asset Class]],tblInherentImpacts30[],2,FALSE)</f>
        <v>4</v>
      </c>
      <c r="L67" s="24">
        <f>VLOOKUP(tblRiskRegister32[[#This Row],[Asset Class]],tblInherentImpacts30[],3,FALSE)</f>
        <v>5</v>
      </c>
      <c r="M67" s="24">
        <f>VLOOKUP(tblRiskRegister32[[#This Row],[Asset Class]],tblInherentImpacts30[],4,FALSE)</f>
        <v>1</v>
      </c>
      <c r="N67" s="24">
        <f>VLOOKUP(tblRiskRegister32[[#This Row],[Asset Class]],tblInherentImpacts30[],5,FALSE)</f>
        <v>5</v>
      </c>
      <c r="O67" s="24" t="str">
        <f>IFERROR(MAX(tblRiskRegister32[[#This Row],[Impact to Mission]:[Impact to Obligations]])*tblRiskRegister32[[#This Row],[Expectancy Score]],"")</f>
        <v/>
      </c>
      <c r="P67" s="24" t="str">
        <f>tblRiskRegister32[[#This Row],[Risk Score]]</f>
        <v/>
      </c>
      <c r="Q67" s="50"/>
      <c r="R67" s="50">
        <v>8.1999999999999993</v>
      </c>
      <c r="S67" s="15" t="s">
        <v>67</v>
      </c>
      <c r="T67" s="15" t="s">
        <v>338</v>
      </c>
      <c r="U67" s="26"/>
      <c r="V67" s="16"/>
      <c r="W67" s="23" t="str">
        <f>IFERROR(VLOOKUP(10*tblRiskRegister32[[#This Row],[Risk Treatment Safeguard Maturity Score]]+tblRiskRegister32[[#This Row],[VCDB Index]],tblHITIndexWeightTable[],4,FALSE),"")</f>
        <v/>
      </c>
      <c r="X67" s="23">
        <f>VLOOKUP(tblRiskRegister32[[#This Row],[Asset Class]],tblInherentImpacts30[],2,FALSE)</f>
        <v>4</v>
      </c>
      <c r="Y67" s="23">
        <f>VLOOKUP(tblRiskRegister32[[#This Row],[Asset Class]],tblInherentImpacts30[],3,FALSE)</f>
        <v>5</v>
      </c>
      <c r="Z67" s="23">
        <f>VLOOKUP(tblRiskRegister32[[#This Row],[Asset Class]],tblInherentImpacts30[],3,FALSE)</f>
        <v>5</v>
      </c>
      <c r="AA67" s="23">
        <f>VLOOKUP(tblRiskRegister32[[#This Row],[Asset Class]],tblInherentImpacts30[],4,FALSE)</f>
        <v>1</v>
      </c>
      <c r="AB67" s="23" t="str">
        <f>IFERROR(MAX(tblRiskRegister32[[#This Row],[Risk Treatment Safeguard Impact to Mission]:[Risk Treatment Safeguard Impact to Obligations]])*tblRiskRegister32[[#This Row],[Risk Treatment
Safeguard Expectancy Score]],"")</f>
        <v/>
      </c>
      <c r="AC67" s="23" t="str">
        <f>IF(tblRiskRegister32[[#This Row],[Risk Score]]&gt;AcceptableRisk,IF(tblRiskRegister32[[#This Row],[Risk Treatment Safeguard Risk Score]]&lt;AcceptableRisk, IF(tblRiskRegister32[[#This Row],[Risk Treatment Safeguard Risk Score]]&lt;=tblRiskRegister32[[#This Row],[Risk Score]],"Yes","No"),"No"),"Yes")</f>
        <v>No</v>
      </c>
      <c r="AD67" s="17"/>
      <c r="AE67" s="17"/>
      <c r="AF67" s="18"/>
    </row>
    <row r="68" spans="2:32" ht="28" hidden="1">
      <c r="B68" s="15" t="s">
        <v>93</v>
      </c>
      <c r="C68" s="50"/>
      <c r="D68" s="50">
        <v>8.3000000000000007</v>
      </c>
      <c r="E68" s="14" t="s">
        <v>68</v>
      </c>
      <c r="F68" s="15"/>
      <c r="G68" s="15"/>
      <c r="H68" s="16"/>
      <c r="I68" s="24">
        <f>IFERROR(VLOOKUP(tblRiskRegister32[[#This Row],[Asset Class]],tblVCDBIndex[],4,FALSE),"")</f>
        <v>1</v>
      </c>
      <c r="J68" s="24" t="str">
        <f>IFERROR(VLOOKUP(10*tblRiskRegister32[[#This Row],[Safeguard Maturity Score]]+tblRiskRegister32[[#This Row],[VCDB Index]],tblHITIndexWeightTable[],4,FALSE),"")</f>
        <v/>
      </c>
      <c r="K68" s="24">
        <f>VLOOKUP(tblRiskRegister32[[#This Row],[Asset Class]],tblInherentImpacts30[],2,FALSE)</f>
        <v>4</v>
      </c>
      <c r="L68" s="24">
        <f>VLOOKUP(tblRiskRegister32[[#This Row],[Asset Class]],tblInherentImpacts30[],3,FALSE)</f>
        <v>5</v>
      </c>
      <c r="M68" s="24">
        <f>VLOOKUP(tblRiskRegister32[[#This Row],[Asset Class]],tblInherentImpacts30[],4,FALSE)</f>
        <v>1</v>
      </c>
      <c r="N68" s="24">
        <f>VLOOKUP(tblRiskRegister32[[#This Row],[Asset Class]],tblInherentImpacts30[],5,FALSE)</f>
        <v>5</v>
      </c>
      <c r="O68" s="24" t="str">
        <f>IFERROR(MAX(tblRiskRegister32[[#This Row],[Impact to Mission]:[Impact to Obligations]])*tblRiskRegister32[[#This Row],[Expectancy Score]],"")</f>
        <v/>
      </c>
      <c r="P68" s="24" t="str">
        <f>tblRiskRegister32[[#This Row],[Risk Score]]</f>
        <v/>
      </c>
      <c r="Q68" s="50"/>
      <c r="R68" s="50">
        <v>8.3000000000000007</v>
      </c>
      <c r="S68" s="15" t="s">
        <v>68</v>
      </c>
      <c r="T68" s="15" t="s">
        <v>339</v>
      </c>
      <c r="U68" s="26"/>
      <c r="V68" s="16"/>
      <c r="W68" s="23" t="str">
        <f>IFERROR(VLOOKUP(10*tblRiskRegister32[[#This Row],[Risk Treatment Safeguard Maturity Score]]+tblRiskRegister32[[#This Row],[VCDB Index]],tblHITIndexWeightTable[],4,FALSE),"")</f>
        <v/>
      </c>
      <c r="X68" s="23">
        <f>VLOOKUP(tblRiskRegister32[[#This Row],[Asset Class]],tblInherentImpacts30[],2,FALSE)</f>
        <v>4</v>
      </c>
      <c r="Y68" s="23">
        <f>VLOOKUP(tblRiskRegister32[[#This Row],[Asset Class]],tblInherentImpacts30[],3,FALSE)</f>
        <v>5</v>
      </c>
      <c r="Z68" s="23">
        <f>VLOOKUP(tblRiskRegister32[[#This Row],[Asset Class]],tblInherentImpacts30[],3,FALSE)</f>
        <v>5</v>
      </c>
      <c r="AA68" s="23">
        <f>VLOOKUP(tblRiskRegister32[[#This Row],[Asset Class]],tblInherentImpacts30[],4,FALSE)</f>
        <v>1</v>
      </c>
      <c r="AB68" s="23" t="str">
        <f>IFERROR(MAX(tblRiskRegister32[[#This Row],[Risk Treatment Safeguard Impact to Mission]:[Risk Treatment Safeguard Impact to Obligations]])*tblRiskRegister32[[#This Row],[Risk Treatment
Safeguard Expectancy Score]],"")</f>
        <v/>
      </c>
      <c r="AC68" s="23" t="str">
        <f>IF(tblRiskRegister32[[#This Row],[Risk Score]]&gt;AcceptableRisk,IF(tblRiskRegister32[[#This Row],[Risk Treatment Safeguard Risk Score]]&lt;AcceptableRisk, IF(tblRiskRegister32[[#This Row],[Risk Treatment Safeguard Risk Score]]&lt;=tblRiskRegister32[[#This Row],[Risk Score]],"Yes","No"),"No"),"Yes")</f>
        <v>No</v>
      </c>
      <c r="AD68" s="17"/>
      <c r="AE68" s="17"/>
      <c r="AF68" s="18"/>
    </row>
    <row r="69" spans="2:32" ht="28" hidden="1">
      <c r="B69" s="15" t="s">
        <v>93</v>
      </c>
      <c r="C69" s="50"/>
      <c r="D69" s="50">
        <v>8.4</v>
      </c>
      <c r="E69" s="14" t="s">
        <v>208</v>
      </c>
      <c r="F69" s="15"/>
      <c r="G69" s="15"/>
      <c r="H69" s="16"/>
      <c r="I69" s="24">
        <f>IFERROR(VLOOKUP(tblRiskRegister32[[#This Row],[Asset Class]],tblVCDBIndex[],4,FALSE),"")</f>
        <v>1</v>
      </c>
      <c r="J69" s="24" t="str">
        <f>IFERROR(VLOOKUP(10*tblRiskRegister32[[#This Row],[Safeguard Maturity Score]]+tblRiskRegister32[[#This Row],[VCDB Index]],tblHITIndexWeightTable[],4,FALSE),"")</f>
        <v/>
      </c>
      <c r="K69" s="24">
        <f>VLOOKUP(tblRiskRegister32[[#This Row],[Asset Class]],tblInherentImpacts30[],2,FALSE)</f>
        <v>4</v>
      </c>
      <c r="L69" s="24">
        <f>VLOOKUP(tblRiskRegister32[[#This Row],[Asset Class]],tblInherentImpacts30[],3,FALSE)</f>
        <v>5</v>
      </c>
      <c r="M69" s="24">
        <f>VLOOKUP(tblRiskRegister32[[#This Row],[Asset Class]],tblInherentImpacts30[],4,FALSE)</f>
        <v>1</v>
      </c>
      <c r="N69" s="24">
        <f>VLOOKUP(tblRiskRegister32[[#This Row],[Asset Class]],tblInherentImpacts30[],5,FALSE)</f>
        <v>5</v>
      </c>
      <c r="O69" s="24" t="str">
        <f>IFERROR(MAX(tblRiskRegister32[[#This Row],[Impact to Mission]:[Impact to Obligations]])*tblRiskRegister32[[#This Row],[Expectancy Score]],"")</f>
        <v/>
      </c>
      <c r="P69" s="24" t="str">
        <f>tblRiskRegister32[[#This Row],[Risk Score]]</f>
        <v/>
      </c>
      <c r="Q69" s="50"/>
      <c r="R69" s="50">
        <v>8.4</v>
      </c>
      <c r="S69" s="15" t="s">
        <v>208</v>
      </c>
      <c r="T69" s="15" t="s">
        <v>340</v>
      </c>
      <c r="U69" s="26"/>
      <c r="V69" s="16"/>
      <c r="W69" s="23" t="str">
        <f>IFERROR(VLOOKUP(10*tblRiskRegister32[[#This Row],[Risk Treatment Safeguard Maturity Score]]+tblRiskRegister32[[#This Row],[VCDB Index]],tblHITIndexWeightTable[],4,FALSE),"")</f>
        <v/>
      </c>
      <c r="X69" s="23">
        <f>VLOOKUP(tblRiskRegister32[[#This Row],[Asset Class]],tblInherentImpacts30[],2,FALSE)</f>
        <v>4</v>
      </c>
      <c r="Y69" s="23">
        <f>VLOOKUP(tblRiskRegister32[[#This Row],[Asset Class]],tblInherentImpacts30[],3,FALSE)</f>
        <v>5</v>
      </c>
      <c r="Z69" s="23">
        <f>VLOOKUP(tblRiskRegister32[[#This Row],[Asset Class]],tblInherentImpacts30[],3,FALSE)</f>
        <v>5</v>
      </c>
      <c r="AA69" s="23">
        <f>VLOOKUP(tblRiskRegister32[[#This Row],[Asset Class]],tblInherentImpacts30[],4,FALSE)</f>
        <v>1</v>
      </c>
      <c r="AB69" s="23" t="str">
        <f>IFERROR(MAX(tblRiskRegister32[[#This Row],[Risk Treatment Safeguard Impact to Mission]:[Risk Treatment Safeguard Impact to Obligations]])*tblRiskRegister32[[#This Row],[Risk Treatment
Safeguard Expectancy Score]],"")</f>
        <v/>
      </c>
      <c r="AC69" s="23" t="str">
        <f>IF(tblRiskRegister32[[#This Row],[Risk Score]]&gt;AcceptableRisk,IF(tblRiskRegister32[[#This Row],[Risk Treatment Safeguard Risk Score]]&lt;AcceptableRisk, IF(tblRiskRegister32[[#This Row],[Risk Treatment Safeguard Risk Score]]&lt;=tblRiskRegister32[[#This Row],[Risk Score]],"Yes","No"),"No"),"Yes")</f>
        <v>No</v>
      </c>
      <c r="AD69" s="17"/>
      <c r="AE69" s="17"/>
      <c r="AF69" s="18"/>
    </row>
    <row r="70" spans="2:32" ht="42" hidden="1">
      <c r="B70" s="15" t="s">
        <v>93</v>
      </c>
      <c r="C70" s="50"/>
      <c r="D70" s="50">
        <v>8.5</v>
      </c>
      <c r="E70" s="14" t="s">
        <v>209</v>
      </c>
      <c r="F70" s="15"/>
      <c r="G70" s="15"/>
      <c r="H70" s="16"/>
      <c r="I70" s="24">
        <f>IFERROR(VLOOKUP(tblRiskRegister32[[#This Row],[Asset Class]],tblVCDBIndex[],4,FALSE),"")</f>
        <v>1</v>
      </c>
      <c r="J70" s="24" t="str">
        <f>IFERROR(VLOOKUP(10*tblRiskRegister32[[#This Row],[Safeguard Maturity Score]]+tblRiskRegister32[[#This Row],[VCDB Index]],tblHITIndexWeightTable[],4,FALSE),"")</f>
        <v/>
      </c>
      <c r="K70" s="24">
        <f>VLOOKUP(tblRiskRegister32[[#This Row],[Asset Class]],tblInherentImpacts30[],2,FALSE)</f>
        <v>4</v>
      </c>
      <c r="L70" s="24">
        <f>VLOOKUP(tblRiskRegister32[[#This Row],[Asset Class]],tblInherentImpacts30[],3,FALSE)</f>
        <v>5</v>
      </c>
      <c r="M70" s="24">
        <f>VLOOKUP(tblRiskRegister32[[#This Row],[Asset Class]],tblInherentImpacts30[],4,FALSE)</f>
        <v>1</v>
      </c>
      <c r="N70" s="24">
        <f>VLOOKUP(tblRiskRegister32[[#This Row],[Asset Class]],tblInherentImpacts30[],5,FALSE)</f>
        <v>5</v>
      </c>
      <c r="O70" s="24" t="str">
        <f>IFERROR(MAX(tblRiskRegister32[[#This Row],[Impact to Mission]:[Impact to Obligations]])*tblRiskRegister32[[#This Row],[Expectancy Score]],"")</f>
        <v/>
      </c>
      <c r="P70" s="24" t="str">
        <f>tblRiskRegister32[[#This Row],[Risk Score]]</f>
        <v/>
      </c>
      <c r="Q70" s="50"/>
      <c r="R70" s="50">
        <v>8.5</v>
      </c>
      <c r="S70" s="15" t="s">
        <v>209</v>
      </c>
      <c r="T70" s="15" t="s">
        <v>341</v>
      </c>
      <c r="U70" s="26"/>
      <c r="V70" s="16"/>
      <c r="W70" s="23" t="str">
        <f>IFERROR(VLOOKUP(10*tblRiskRegister32[[#This Row],[Risk Treatment Safeguard Maturity Score]]+tblRiskRegister32[[#This Row],[VCDB Index]],tblHITIndexWeightTable[],4,FALSE),"")</f>
        <v/>
      </c>
      <c r="X70" s="23">
        <f>VLOOKUP(tblRiskRegister32[[#This Row],[Asset Class]],tblInherentImpacts30[],2,FALSE)</f>
        <v>4</v>
      </c>
      <c r="Y70" s="23">
        <f>VLOOKUP(tblRiskRegister32[[#This Row],[Asset Class]],tblInherentImpacts30[],3,FALSE)</f>
        <v>5</v>
      </c>
      <c r="Z70" s="23">
        <f>VLOOKUP(tblRiskRegister32[[#This Row],[Asset Class]],tblInherentImpacts30[],3,FALSE)</f>
        <v>5</v>
      </c>
      <c r="AA70" s="23">
        <f>VLOOKUP(tblRiskRegister32[[#This Row],[Asset Class]],tblInherentImpacts30[],4,FALSE)</f>
        <v>1</v>
      </c>
      <c r="AB70" s="23" t="str">
        <f>IFERROR(MAX(tblRiskRegister32[[#This Row],[Risk Treatment Safeguard Impact to Mission]:[Risk Treatment Safeguard Impact to Obligations]])*tblRiskRegister32[[#This Row],[Risk Treatment
Safeguard Expectancy Score]],"")</f>
        <v/>
      </c>
      <c r="AC70" s="23" t="str">
        <f>IF(tblRiskRegister32[[#This Row],[Risk Score]]&gt;AcceptableRisk,IF(tblRiskRegister32[[#This Row],[Risk Treatment Safeguard Risk Score]]&lt;AcceptableRisk, IF(tblRiskRegister32[[#This Row],[Risk Treatment Safeguard Risk Score]]&lt;=tblRiskRegister32[[#This Row],[Risk Score]],"Yes","No"),"No"),"Yes")</f>
        <v>No</v>
      </c>
      <c r="AD70" s="17"/>
      <c r="AE70" s="17"/>
      <c r="AF70" s="18"/>
    </row>
    <row r="71" spans="2:32" ht="14" hidden="1">
      <c r="B71" s="15" t="s">
        <v>93</v>
      </c>
      <c r="C71" s="50"/>
      <c r="D71" s="50">
        <v>8.6</v>
      </c>
      <c r="E71" s="14" t="s">
        <v>210</v>
      </c>
      <c r="F71" s="15"/>
      <c r="G71" s="15"/>
      <c r="H71" s="16"/>
      <c r="I71" s="24">
        <f>IFERROR(VLOOKUP(tblRiskRegister32[[#This Row],[Asset Class]],tblVCDBIndex[],4,FALSE),"")</f>
        <v>1</v>
      </c>
      <c r="J71" s="24" t="str">
        <f>IFERROR(VLOOKUP(10*tblRiskRegister32[[#This Row],[Safeguard Maturity Score]]+tblRiskRegister32[[#This Row],[VCDB Index]],tblHITIndexWeightTable[],4,FALSE),"")</f>
        <v/>
      </c>
      <c r="K71" s="24">
        <f>VLOOKUP(tblRiskRegister32[[#This Row],[Asset Class]],tblInherentImpacts30[],2,FALSE)</f>
        <v>4</v>
      </c>
      <c r="L71" s="24">
        <f>VLOOKUP(tblRiskRegister32[[#This Row],[Asset Class]],tblInherentImpacts30[],3,FALSE)</f>
        <v>5</v>
      </c>
      <c r="M71" s="24">
        <f>VLOOKUP(tblRiskRegister32[[#This Row],[Asset Class]],tblInherentImpacts30[],4,FALSE)</f>
        <v>1</v>
      </c>
      <c r="N71" s="24">
        <f>VLOOKUP(tblRiskRegister32[[#This Row],[Asset Class]],tblInherentImpacts30[],5,FALSE)</f>
        <v>5</v>
      </c>
      <c r="O71" s="24" t="str">
        <f>IFERROR(MAX(tblRiskRegister32[[#This Row],[Impact to Mission]:[Impact to Obligations]])*tblRiskRegister32[[#This Row],[Expectancy Score]],"")</f>
        <v/>
      </c>
      <c r="P71" s="24" t="str">
        <f>tblRiskRegister32[[#This Row],[Risk Score]]</f>
        <v/>
      </c>
      <c r="Q71" s="50"/>
      <c r="R71" s="50">
        <v>8.6</v>
      </c>
      <c r="S71" s="15" t="s">
        <v>210</v>
      </c>
      <c r="T71" s="15" t="s">
        <v>342</v>
      </c>
      <c r="U71" s="26"/>
      <c r="V71" s="16"/>
      <c r="W71" s="23" t="str">
        <f>IFERROR(VLOOKUP(10*tblRiskRegister32[[#This Row],[Risk Treatment Safeguard Maturity Score]]+tblRiskRegister32[[#This Row],[VCDB Index]],tblHITIndexWeightTable[],4,FALSE),"")</f>
        <v/>
      </c>
      <c r="X71" s="23">
        <f>VLOOKUP(tblRiskRegister32[[#This Row],[Asset Class]],tblInherentImpacts30[],2,FALSE)</f>
        <v>4</v>
      </c>
      <c r="Y71" s="23">
        <f>VLOOKUP(tblRiskRegister32[[#This Row],[Asset Class]],tblInherentImpacts30[],3,FALSE)</f>
        <v>5</v>
      </c>
      <c r="Z71" s="23">
        <f>VLOOKUP(tblRiskRegister32[[#This Row],[Asset Class]],tblInherentImpacts30[],3,FALSE)</f>
        <v>5</v>
      </c>
      <c r="AA71" s="23">
        <f>VLOOKUP(tblRiskRegister32[[#This Row],[Asset Class]],tblInherentImpacts30[],4,FALSE)</f>
        <v>1</v>
      </c>
      <c r="AB71" s="23" t="str">
        <f>IFERROR(MAX(tblRiskRegister32[[#This Row],[Risk Treatment Safeguard Impact to Mission]:[Risk Treatment Safeguard Impact to Obligations]])*tblRiskRegister32[[#This Row],[Risk Treatment
Safeguard Expectancy Score]],"")</f>
        <v/>
      </c>
      <c r="AC71" s="23" t="str">
        <f>IF(tblRiskRegister32[[#This Row],[Risk Score]]&gt;AcceptableRisk,IF(tblRiskRegister32[[#This Row],[Risk Treatment Safeguard Risk Score]]&lt;AcceptableRisk, IF(tblRiskRegister32[[#This Row],[Risk Treatment Safeguard Risk Score]]&lt;=tblRiskRegister32[[#This Row],[Risk Score]],"Yes","No"),"No"),"Yes")</f>
        <v>No</v>
      </c>
      <c r="AD71" s="17"/>
      <c r="AE71" s="17"/>
      <c r="AF71" s="18"/>
    </row>
    <row r="72" spans="2:32" ht="14" hidden="1">
      <c r="B72" s="15" t="s">
        <v>93</v>
      </c>
      <c r="C72" s="50"/>
      <c r="D72" s="50">
        <v>8.6999999999999993</v>
      </c>
      <c r="E72" s="14" t="s">
        <v>211</v>
      </c>
      <c r="F72" s="15"/>
      <c r="G72" s="15"/>
      <c r="H72" s="16"/>
      <c r="I72" s="24">
        <f>IFERROR(VLOOKUP(tblRiskRegister32[[#This Row],[Asset Class]],tblVCDBIndex[],4,FALSE),"")</f>
        <v>1</v>
      </c>
      <c r="J72" s="24" t="str">
        <f>IFERROR(VLOOKUP(10*tblRiskRegister32[[#This Row],[Safeguard Maturity Score]]+tblRiskRegister32[[#This Row],[VCDB Index]],tblHITIndexWeightTable[],4,FALSE),"")</f>
        <v/>
      </c>
      <c r="K72" s="24">
        <f>VLOOKUP(tblRiskRegister32[[#This Row],[Asset Class]],tblInherentImpacts30[],2,FALSE)</f>
        <v>4</v>
      </c>
      <c r="L72" s="24">
        <f>VLOOKUP(tblRiskRegister32[[#This Row],[Asset Class]],tblInherentImpacts30[],3,FALSE)</f>
        <v>5</v>
      </c>
      <c r="M72" s="24">
        <f>VLOOKUP(tblRiskRegister32[[#This Row],[Asset Class]],tblInherentImpacts30[],4,FALSE)</f>
        <v>1</v>
      </c>
      <c r="N72" s="24">
        <f>VLOOKUP(tblRiskRegister32[[#This Row],[Asset Class]],tblInherentImpacts30[],5,FALSE)</f>
        <v>5</v>
      </c>
      <c r="O72" s="24" t="str">
        <f>IFERROR(MAX(tblRiskRegister32[[#This Row],[Impact to Mission]:[Impact to Obligations]])*tblRiskRegister32[[#This Row],[Expectancy Score]],"")</f>
        <v/>
      </c>
      <c r="P72" s="24" t="str">
        <f>tblRiskRegister32[[#This Row],[Risk Score]]</f>
        <v/>
      </c>
      <c r="Q72" s="50"/>
      <c r="R72" s="50">
        <v>8.6999999999999993</v>
      </c>
      <c r="S72" s="15" t="s">
        <v>211</v>
      </c>
      <c r="T72" s="15" t="s">
        <v>343</v>
      </c>
      <c r="U72" s="26"/>
      <c r="V72" s="16"/>
      <c r="W72" s="23" t="str">
        <f>IFERROR(VLOOKUP(10*tblRiskRegister32[[#This Row],[Risk Treatment Safeguard Maturity Score]]+tblRiskRegister32[[#This Row],[VCDB Index]],tblHITIndexWeightTable[],4,FALSE),"")</f>
        <v/>
      </c>
      <c r="X72" s="23">
        <f>VLOOKUP(tblRiskRegister32[[#This Row],[Asset Class]],tblInherentImpacts30[],2,FALSE)</f>
        <v>4</v>
      </c>
      <c r="Y72" s="23">
        <f>VLOOKUP(tblRiskRegister32[[#This Row],[Asset Class]],tblInherentImpacts30[],3,FALSE)</f>
        <v>5</v>
      </c>
      <c r="Z72" s="23">
        <f>VLOOKUP(tblRiskRegister32[[#This Row],[Asset Class]],tblInherentImpacts30[],3,FALSE)</f>
        <v>5</v>
      </c>
      <c r="AA72" s="23">
        <f>VLOOKUP(tblRiskRegister32[[#This Row],[Asset Class]],tblInherentImpacts30[],4,FALSE)</f>
        <v>1</v>
      </c>
      <c r="AB72" s="23" t="str">
        <f>IFERROR(MAX(tblRiskRegister32[[#This Row],[Risk Treatment Safeguard Impact to Mission]:[Risk Treatment Safeguard Impact to Obligations]])*tblRiskRegister32[[#This Row],[Risk Treatment
Safeguard Expectancy Score]],"")</f>
        <v/>
      </c>
      <c r="AC72" s="23" t="str">
        <f>IF(tblRiskRegister32[[#This Row],[Risk Score]]&gt;AcceptableRisk,IF(tblRiskRegister32[[#This Row],[Risk Treatment Safeguard Risk Score]]&lt;AcceptableRisk, IF(tblRiskRegister32[[#This Row],[Risk Treatment Safeguard Risk Score]]&lt;=tblRiskRegister32[[#This Row],[Risk Score]],"Yes","No"),"No"),"Yes")</f>
        <v>No</v>
      </c>
      <c r="AD72" s="17"/>
      <c r="AE72" s="17"/>
      <c r="AF72" s="18"/>
    </row>
    <row r="73" spans="2:32" ht="28" hidden="1">
      <c r="B73" s="15" t="s">
        <v>91</v>
      </c>
      <c r="C73" s="50"/>
      <c r="D73" s="50">
        <v>8.8000000000000007</v>
      </c>
      <c r="E73" s="14" t="s">
        <v>189</v>
      </c>
      <c r="F73" s="15"/>
      <c r="G73" s="15"/>
      <c r="H73" s="16"/>
      <c r="I73" s="24">
        <f>IFERROR(VLOOKUP(tblRiskRegister32[[#This Row],[Asset Class]],tblVCDBIndex[],4,FALSE),"")</f>
        <v>1</v>
      </c>
      <c r="J73" s="24" t="str">
        <f>IFERROR(VLOOKUP(10*tblRiskRegister32[[#This Row],[Safeguard Maturity Score]]+tblRiskRegister32[[#This Row],[VCDB Index]],tblHITIndexWeightTable[],4,FALSE),"")</f>
        <v/>
      </c>
      <c r="K73" s="24">
        <f>VLOOKUP(tblRiskRegister32[[#This Row],[Asset Class]],tblInherentImpacts30[],2,FALSE)</f>
        <v>3</v>
      </c>
      <c r="L73" s="24">
        <f>VLOOKUP(tblRiskRegister32[[#This Row],[Asset Class]],tblInherentImpacts30[],3,FALSE)</f>
        <v>3</v>
      </c>
      <c r="M73" s="24">
        <f>VLOOKUP(tblRiskRegister32[[#This Row],[Asset Class]],tblInherentImpacts30[],4,FALSE)</f>
        <v>1</v>
      </c>
      <c r="N73" s="24">
        <f>VLOOKUP(tblRiskRegister32[[#This Row],[Asset Class]],tblInherentImpacts30[],5,FALSE)</f>
        <v>3</v>
      </c>
      <c r="O73" s="24" t="str">
        <f>IFERROR(MAX(tblRiskRegister32[[#This Row],[Impact to Mission]:[Impact to Obligations]])*tblRiskRegister32[[#This Row],[Expectancy Score]],"")</f>
        <v/>
      </c>
      <c r="P73" s="24" t="str">
        <f>tblRiskRegister32[[#This Row],[Risk Score]]</f>
        <v/>
      </c>
      <c r="Q73" s="50"/>
      <c r="R73" s="50">
        <v>8.8000000000000007</v>
      </c>
      <c r="S73" s="15" t="s">
        <v>189</v>
      </c>
      <c r="T73" s="15" t="s">
        <v>344</v>
      </c>
      <c r="U73" s="26"/>
      <c r="V73" s="16"/>
      <c r="W73" s="23" t="str">
        <f>IFERROR(VLOOKUP(10*tblRiskRegister32[[#This Row],[Risk Treatment Safeguard Maturity Score]]+tblRiskRegister32[[#This Row],[VCDB Index]],tblHITIndexWeightTable[],4,FALSE),"")</f>
        <v/>
      </c>
      <c r="X73" s="23">
        <f>VLOOKUP(tblRiskRegister32[[#This Row],[Asset Class]],tblInherentImpacts30[],2,FALSE)</f>
        <v>3</v>
      </c>
      <c r="Y73" s="23">
        <f>VLOOKUP(tblRiskRegister32[[#This Row],[Asset Class]],tblInherentImpacts30[],3,FALSE)</f>
        <v>3</v>
      </c>
      <c r="Z73" s="23">
        <f>VLOOKUP(tblRiskRegister32[[#This Row],[Asset Class]],tblInherentImpacts30[],3,FALSE)</f>
        <v>3</v>
      </c>
      <c r="AA73" s="23">
        <f>VLOOKUP(tblRiskRegister32[[#This Row],[Asset Class]],tblInherentImpacts30[],4,FALSE)</f>
        <v>1</v>
      </c>
      <c r="AB73" s="23" t="str">
        <f>IFERROR(MAX(tblRiskRegister32[[#This Row],[Risk Treatment Safeguard Impact to Mission]:[Risk Treatment Safeguard Impact to Obligations]])*tblRiskRegister32[[#This Row],[Risk Treatment
Safeguard Expectancy Score]],"")</f>
        <v/>
      </c>
      <c r="AC73" s="23" t="str">
        <f>IF(tblRiskRegister32[[#This Row],[Risk Score]]&gt;AcceptableRisk,IF(tblRiskRegister32[[#This Row],[Risk Treatment Safeguard Risk Score]]&lt;AcceptableRisk, IF(tblRiskRegister32[[#This Row],[Risk Treatment Safeguard Risk Score]]&lt;=tblRiskRegister32[[#This Row],[Risk Score]],"Yes","No"),"No"),"Yes")</f>
        <v>No</v>
      </c>
      <c r="AD73" s="17"/>
      <c r="AE73" s="17"/>
      <c r="AF73" s="18"/>
    </row>
    <row r="74" spans="2:32" ht="28" hidden="1">
      <c r="B74" s="15" t="s">
        <v>93</v>
      </c>
      <c r="C74" s="50"/>
      <c r="D74" s="50">
        <v>8.9</v>
      </c>
      <c r="E74" s="14" t="s">
        <v>212</v>
      </c>
      <c r="F74" s="15"/>
      <c r="G74" s="15"/>
      <c r="H74" s="16"/>
      <c r="I74" s="24">
        <f>IFERROR(VLOOKUP(tblRiskRegister32[[#This Row],[Asset Class]],tblVCDBIndex[],4,FALSE),"")</f>
        <v>1</v>
      </c>
      <c r="J74" s="24" t="str">
        <f>IFERROR(VLOOKUP(10*tblRiskRegister32[[#This Row],[Safeguard Maturity Score]]+tblRiskRegister32[[#This Row],[VCDB Index]],tblHITIndexWeightTable[],4,FALSE),"")</f>
        <v/>
      </c>
      <c r="K74" s="24">
        <f>VLOOKUP(tblRiskRegister32[[#This Row],[Asset Class]],tblInherentImpacts30[],2,FALSE)</f>
        <v>4</v>
      </c>
      <c r="L74" s="24">
        <f>VLOOKUP(tblRiskRegister32[[#This Row],[Asset Class]],tblInherentImpacts30[],3,FALSE)</f>
        <v>5</v>
      </c>
      <c r="M74" s="24">
        <f>VLOOKUP(tblRiskRegister32[[#This Row],[Asset Class]],tblInherentImpacts30[],4,FALSE)</f>
        <v>1</v>
      </c>
      <c r="N74" s="24">
        <f>VLOOKUP(tblRiskRegister32[[#This Row],[Asset Class]],tblInherentImpacts30[],5,FALSE)</f>
        <v>5</v>
      </c>
      <c r="O74" s="24" t="str">
        <f>IFERROR(MAX(tblRiskRegister32[[#This Row],[Impact to Mission]:[Impact to Obligations]])*tblRiskRegister32[[#This Row],[Expectancy Score]],"")</f>
        <v/>
      </c>
      <c r="P74" s="24" t="str">
        <f>tblRiskRegister32[[#This Row],[Risk Score]]</f>
        <v/>
      </c>
      <c r="Q74" s="50"/>
      <c r="R74" s="50">
        <v>8.9</v>
      </c>
      <c r="S74" s="15" t="s">
        <v>212</v>
      </c>
      <c r="T74" s="15" t="s">
        <v>345</v>
      </c>
      <c r="U74" s="26"/>
      <c r="V74" s="16"/>
      <c r="W74" s="23" t="str">
        <f>IFERROR(VLOOKUP(10*tblRiskRegister32[[#This Row],[Risk Treatment Safeguard Maturity Score]]+tblRiskRegister32[[#This Row],[VCDB Index]],tblHITIndexWeightTable[],4,FALSE),"")</f>
        <v/>
      </c>
      <c r="X74" s="23">
        <f>VLOOKUP(tblRiskRegister32[[#This Row],[Asset Class]],tblInherentImpacts30[],2,FALSE)</f>
        <v>4</v>
      </c>
      <c r="Y74" s="23">
        <f>VLOOKUP(tblRiskRegister32[[#This Row],[Asset Class]],tblInherentImpacts30[],3,FALSE)</f>
        <v>5</v>
      </c>
      <c r="Z74" s="23">
        <f>VLOOKUP(tblRiskRegister32[[#This Row],[Asset Class]],tblInherentImpacts30[],3,FALSE)</f>
        <v>5</v>
      </c>
      <c r="AA74" s="23">
        <f>VLOOKUP(tblRiskRegister32[[#This Row],[Asset Class]],tblInherentImpacts30[],4,FALSE)</f>
        <v>1</v>
      </c>
      <c r="AB74" s="23" t="str">
        <f>IFERROR(MAX(tblRiskRegister32[[#This Row],[Risk Treatment Safeguard Impact to Mission]:[Risk Treatment Safeguard Impact to Obligations]])*tblRiskRegister32[[#This Row],[Risk Treatment
Safeguard Expectancy Score]],"")</f>
        <v/>
      </c>
      <c r="AC74" s="23" t="str">
        <f>IF(tblRiskRegister32[[#This Row],[Risk Score]]&gt;AcceptableRisk,IF(tblRiskRegister32[[#This Row],[Risk Treatment Safeguard Risk Score]]&lt;AcceptableRisk, IF(tblRiskRegister32[[#This Row],[Risk Treatment Safeguard Risk Score]]&lt;=tblRiskRegister32[[#This Row],[Risk Score]],"Yes","No"),"No"),"Yes")</f>
        <v>No</v>
      </c>
      <c r="AD74" s="17"/>
      <c r="AE74" s="17"/>
      <c r="AF74" s="18"/>
    </row>
    <row r="75" spans="2:32" ht="42" hidden="1">
      <c r="B75" s="15" t="s">
        <v>92</v>
      </c>
      <c r="C75" s="50"/>
      <c r="D75" s="50">
        <v>9.1</v>
      </c>
      <c r="E75" s="14" t="s">
        <v>15</v>
      </c>
      <c r="F75" s="15"/>
      <c r="G75" s="15"/>
      <c r="H75" s="16"/>
      <c r="I75" s="24">
        <f>IFERROR(VLOOKUP(tblRiskRegister32[[#This Row],[Asset Class]],tblVCDBIndex[],4,FALSE),"")</f>
        <v>2</v>
      </c>
      <c r="J75" s="24" t="str">
        <f>IFERROR(VLOOKUP(10*tblRiskRegister32[[#This Row],[Safeguard Maturity Score]]+tblRiskRegister32[[#This Row],[VCDB Index]],tblHITIndexWeightTable[],4,FALSE),"")</f>
        <v/>
      </c>
      <c r="K75" s="24">
        <f>VLOOKUP(tblRiskRegister32[[#This Row],[Asset Class]],tblInherentImpacts30[],2,FALSE)</f>
        <v>3</v>
      </c>
      <c r="L75" s="24">
        <f>VLOOKUP(tblRiskRegister32[[#This Row],[Asset Class]],tblInherentImpacts30[],3,FALSE)</f>
        <v>4</v>
      </c>
      <c r="M75" s="24">
        <f>VLOOKUP(tblRiskRegister32[[#This Row],[Asset Class]],tblInherentImpacts30[],4,FALSE)</f>
        <v>1</v>
      </c>
      <c r="N75" s="24">
        <f>VLOOKUP(tblRiskRegister32[[#This Row],[Asset Class]],tblInherentImpacts30[],5,FALSE)</f>
        <v>4</v>
      </c>
      <c r="O75" s="24" t="str">
        <f>IFERROR(MAX(tblRiskRegister32[[#This Row],[Impact to Mission]:[Impact to Obligations]])*tblRiskRegister32[[#This Row],[Expectancy Score]],"")</f>
        <v/>
      </c>
      <c r="P75" s="24" t="str">
        <f>tblRiskRegister32[[#This Row],[Risk Score]]</f>
        <v/>
      </c>
      <c r="Q75" s="50"/>
      <c r="R75" s="50">
        <v>9.1</v>
      </c>
      <c r="S75" s="15" t="s">
        <v>15</v>
      </c>
      <c r="T75" s="15" t="s">
        <v>348</v>
      </c>
      <c r="U75" s="15"/>
      <c r="V75" s="16"/>
      <c r="W75" s="23" t="str">
        <f>IFERROR(VLOOKUP(10*tblRiskRegister32[[#This Row],[Risk Treatment Safeguard Maturity Score]]+tblRiskRegister32[[#This Row],[VCDB Index]],tblHITIndexWeightTable[],4,FALSE),"")</f>
        <v/>
      </c>
      <c r="X75" s="23">
        <f>VLOOKUP(tblRiskRegister32[[#This Row],[Asset Class]],tblInherentImpacts30[],2,FALSE)</f>
        <v>3</v>
      </c>
      <c r="Y75" s="23">
        <f>VLOOKUP(tblRiskRegister32[[#This Row],[Asset Class]],tblInherentImpacts30[],3,FALSE)</f>
        <v>4</v>
      </c>
      <c r="Z75" s="23">
        <f>VLOOKUP(tblRiskRegister32[[#This Row],[Asset Class]],tblInherentImpacts30[],3,FALSE)</f>
        <v>4</v>
      </c>
      <c r="AA75" s="23">
        <f>VLOOKUP(tblRiskRegister32[[#This Row],[Asset Class]],tblInherentImpacts30[],4,FALSE)</f>
        <v>1</v>
      </c>
      <c r="AB75" s="23" t="str">
        <f>IFERROR(MAX(tblRiskRegister32[[#This Row],[Risk Treatment Safeguard Impact to Mission]:[Risk Treatment Safeguard Impact to Obligations]])*tblRiskRegister32[[#This Row],[Risk Treatment
Safeguard Expectancy Score]],"")</f>
        <v/>
      </c>
      <c r="AC75" s="23" t="str">
        <f>IF(tblRiskRegister32[[#This Row],[Risk Score]]&gt;AcceptableRisk,IF(tblRiskRegister32[[#This Row],[Risk Treatment Safeguard Risk Score]]&lt;AcceptableRisk, IF(tblRiskRegister32[[#This Row],[Risk Treatment Safeguard Risk Score]]&lt;=tblRiskRegister32[[#This Row],[Risk Score]],"Yes","No"),"No"),"Yes")</f>
        <v>No</v>
      </c>
      <c r="AD75" s="17"/>
      <c r="AE75" s="17"/>
      <c r="AF75" s="18"/>
    </row>
    <row r="76" spans="2:32" ht="28" hidden="1">
      <c r="B76" s="15" t="s">
        <v>93</v>
      </c>
      <c r="C76" s="50"/>
      <c r="D76" s="50">
        <v>9.1999999999999993</v>
      </c>
      <c r="E76" s="14" t="s">
        <v>69</v>
      </c>
      <c r="F76" s="15"/>
      <c r="G76" s="15"/>
      <c r="H76" s="16"/>
      <c r="I76" s="24">
        <f>IFERROR(VLOOKUP(tblRiskRegister32[[#This Row],[Asset Class]],tblVCDBIndex[],4,FALSE),"")</f>
        <v>1</v>
      </c>
      <c r="J76" s="24" t="str">
        <f>IFERROR(VLOOKUP(10*tblRiskRegister32[[#This Row],[Safeguard Maturity Score]]+tblRiskRegister32[[#This Row],[VCDB Index]],tblHITIndexWeightTable[],4,FALSE),"")</f>
        <v/>
      </c>
      <c r="K76" s="24">
        <f>VLOOKUP(tblRiskRegister32[[#This Row],[Asset Class]],tblInherentImpacts30[],2,FALSE)</f>
        <v>4</v>
      </c>
      <c r="L76" s="24">
        <f>VLOOKUP(tblRiskRegister32[[#This Row],[Asset Class]],tblInherentImpacts30[],3,FALSE)</f>
        <v>5</v>
      </c>
      <c r="M76" s="24">
        <f>VLOOKUP(tblRiskRegister32[[#This Row],[Asset Class]],tblInherentImpacts30[],4,FALSE)</f>
        <v>1</v>
      </c>
      <c r="N76" s="24">
        <f>VLOOKUP(tblRiskRegister32[[#This Row],[Asset Class]],tblInherentImpacts30[],5,FALSE)</f>
        <v>5</v>
      </c>
      <c r="O76" s="24" t="str">
        <f>IFERROR(MAX(tblRiskRegister32[[#This Row],[Impact to Mission]:[Impact to Obligations]])*tblRiskRegister32[[#This Row],[Expectancy Score]],"")</f>
        <v/>
      </c>
      <c r="P76" s="24" t="str">
        <f>tblRiskRegister32[[#This Row],[Risk Score]]</f>
        <v/>
      </c>
      <c r="Q76" s="50"/>
      <c r="R76" s="50">
        <v>9.1999999999999993</v>
      </c>
      <c r="S76" s="15" t="s">
        <v>69</v>
      </c>
      <c r="T76" s="15" t="s">
        <v>349</v>
      </c>
      <c r="U76" s="26"/>
      <c r="V76" s="16"/>
      <c r="W76" s="23" t="str">
        <f>IFERROR(VLOOKUP(10*tblRiskRegister32[[#This Row],[Risk Treatment Safeguard Maturity Score]]+tblRiskRegister32[[#This Row],[VCDB Index]],tblHITIndexWeightTable[],4,FALSE),"")</f>
        <v/>
      </c>
      <c r="X76" s="23">
        <f>VLOOKUP(tblRiskRegister32[[#This Row],[Asset Class]],tblInherentImpacts30[],2,FALSE)</f>
        <v>4</v>
      </c>
      <c r="Y76" s="23">
        <f>VLOOKUP(tblRiskRegister32[[#This Row],[Asset Class]],tblInherentImpacts30[],3,FALSE)</f>
        <v>5</v>
      </c>
      <c r="Z76" s="23">
        <f>VLOOKUP(tblRiskRegister32[[#This Row],[Asset Class]],tblInherentImpacts30[],3,FALSE)</f>
        <v>5</v>
      </c>
      <c r="AA76" s="23">
        <f>VLOOKUP(tblRiskRegister32[[#This Row],[Asset Class]],tblInherentImpacts30[],4,FALSE)</f>
        <v>1</v>
      </c>
      <c r="AB76" s="23" t="str">
        <f>IFERROR(MAX(tblRiskRegister32[[#This Row],[Risk Treatment Safeguard Impact to Mission]:[Risk Treatment Safeguard Impact to Obligations]])*tblRiskRegister32[[#This Row],[Risk Treatment
Safeguard Expectancy Score]],"")</f>
        <v/>
      </c>
      <c r="AC76" s="23" t="str">
        <f>IF(tblRiskRegister32[[#This Row],[Risk Score]]&gt;AcceptableRisk,IF(tblRiskRegister32[[#This Row],[Risk Treatment Safeguard Risk Score]]&lt;AcceptableRisk, IF(tblRiskRegister32[[#This Row],[Risk Treatment Safeguard Risk Score]]&lt;=tblRiskRegister32[[#This Row],[Risk Score]],"Yes","No"),"No"),"Yes")</f>
        <v>No</v>
      </c>
      <c r="AD76" s="17"/>
      <c r="AE76" s="17"/>
      <c r="AF76" s="18"/>
    </row>
    <row r="77" spans="2:32" ht="56" hidden="1">
      <c r="B77" s="15" t="s">
        <v>93</v>
      </c>
      <c r="C77" s="50"/>
      <c r="D77" s="50">
        <v>9.3000000000000007</v>
      </c>
      <c r="E77" s="14" t="s">
        <v>215</v>
      </c>
      <c r="F77" s="15"/>
      <c r="G77" s="15"/>
      <c r="H77" s="16"/>
      <c r="I77" s="24">
        <f>IFERROR(VLOOKUP(tblRiskRegister32[[#This Row],[Asset Class]],tblVCDBIndex[],4,FALSE),"")</f>
        <v>1</v>
      </c>
      <c r="J77" s="24" t="str">
        <f>IFERROR(VLOOKUP(10*tblRiskRegister32[[#This Row],[Safeguard Maturity Score]]+tblRiskRegister32[[#This Row],[VCDB Index]],tblHITIndexWeightTable[],4,FALSE),"")</f>
        <v/>
      </c>
      <c r="K77" s="24">
        <f>VLOOKUP(tblRiskRegister32[[#This Row],[Asset Class]],tblInherentImpacts30[],2,FALSE)</f>
        <v>4</v>
      </c>
      <c r="L77" s="24">
        <f>VLOOKUP(tblRiskRegister32[[#This Row],[Asset Class]],tblInherentImpacts30[],3,FALSE)</f>
        <v>5</v>
      </c>
      <c r="M77" s="24">
        <f>VLOOKUP(tblRiskRegister32[[#This Row],[Asset Class]],tblInherentImpacts30[],4,FALSE)</f>
        <v>1</v>
      </c>
      <c r="N77" s="24">
        <f>VLOOKUP(tblRiskRegister32[[#This Row],[Asset Class]],tblInherentImpacts30[],5,FALSE)</f>
        <v>5</v>
      </c>
      <c r="O77" s="24" t="str">
        <f>IFERROR(MAX(tblRiskRegister32[[#This Row],[Impact to Mission]:[Impact to Obligations]])*tblRiskRegister32[[#This Row],[Expectancy Score]],"")</f>
        <v/>
      </c>
      <c r="P77" s="24" t="str">
        <f>tblRiskRegister32[[#This Row],[Risk Score]]</f>
        <v/>
      </c>
      <c r="Q77" s="50"/>
      <c r="R77" s="50">
        <v>9.3000000000000007</v>
      </c>
      <c r="S77" s="15" t="s">
        <v>215</v>
      </c>
      <c r="T77" s="15" t="s">
        <v>350</v>
      </c>
      <c r="U77" s="26"/>
      <c r="V77" s="16"/>
      <c r="W77" s="23" t="str">
        <f>IFERROR(VLOOKUP(10*tblRiskRegister32[[#This Row],[Risk Treatment Safeguard Maturity Score]]+tblRiskRegister32[[#This Row],[VCDB Index]],tblHITIndexWeightTable[],4,FALSE),"")</f>
        <v/>
      </c>
      <c r="X77" s="23">
        <f>VLOOKUP(tblRiskRegister32[[#This Row],[Asset Class]],tblInherentImpacts30[],2,FALSE)</f>
        <v>4</v>
      </c>
      <c r="Y77" s="23">
        <f>VLOOKUP(tblRiskRegister32[[#This Row],[Asset Class]],tblInherentImpacts30[],3,FALSE)</f>
        <v>5</v>
      </c>
      <c r="Z77" s="23">
        <f>VLOOKUP(tblRiskRegister32[[#This Row],[Asset Class]],tblInherentImpacts30[],3,FALSE)</f>
        <v>5</v>
      </c>
      <c r="AA77" s="23">
        <f>VLOOKUP(tblRiskRegister32[[#This Row],[Asset Class]],tblInherentImpacts30[],4,FALSE)</f>
        <v>1</v>
      </c>
      <c r="AB77" s="23" t="str">
        <f>IFERROR(MAX(tblRiskRegister32[[#This Row],[Risk Treatment Safeguard Impact to Mission]:[Risk Treatment Safeguard Impact to Obligations]])*tblRiskRegister32[[#This Row],[Risk Treatment
Safeguard Expectancy Score]],"")</f>
        <v/>
      </c>
      <c r="AC77" s="23" t="str">
        <f>IF(tblRiskRegister32[[#This Row],[Risk Score]]&gt;AcceptableRisk,IF(tblRiskRegister32[[#This Row],[Risk Treatment Safeguard Risk Score]]&lt;AcceptableRisk, IF(tblRiskRegister32[[#This Row],[Risk Treatment Safeguard Risk Score]]&lt;=tblRiskRegister32[[#This Row],[Risk Score]],"Yes","No"),"No"),"Yes")</f>
        <v>No</v>
      </c>
      <c r="AD77" s="17"/>
      <c r="AE77" s="17"/>
      <c r="AF77" s="18"/>
    </row>
    <row r="78" spans="2:32" ht="28" hidden="1">
      <c r="B78" s="15" t="s">
        <v>92</v>
      </c>
      <c r="C78" s="50"/>
      <c r="D78" s="50">
        <v>9.4</v>
      </c>
      <c r="E78" s="14" t="s">
        <v>166</v>
      </c>
      <c r="F78" s="15"/>
      <c r="G78" s="15"/>
      <c r="H78" s="16"/>
      <c r="I78" s="24">
        <f>IFERROR(VLOOKUP(tblRiskRegister32[[#This Row],[Asset Class]],tblVCDBIndex[],4,FALSE),"")</f>
        <v>2</v>
      </c>
      <c r="J78" s="24" t="str">
        <f>IFERROR(VLOOKUP(10*tblRiskRegister32[[#This Row],[Safeguard Maturity Score]]+tblRiskRegister32[[#This Row],[VCDB Index]],tblHITIndexWeightTable[],4,FALSE),"")</f>
        <v/>
      </c>
      <c r="K78" s="24">
        <f>VLOOKUP(tblRiskRegister32[[#This Row],[Asset Class]],tblInherentImpacts30[],2,FALSE)</f>
        <v>3</v>
      </c>
      <c r="L78" s="24">
        <f>VLOOKUP(tblRiskRegister32[[#This Row],[Asset Class]],tblInherentImpacts30[],3,FALSE)</f>
        <v>4</v>
      </c>
      <c r="M78" s="24">
        <f>VLOOKUP(tblRiskRegister32[[#This Row],[Asset Class]],tblInherentImpacts30[],4,FALSE)</f>
        <v>1</v>
      </c>
      <c r="N78" s="24">
        <f>VLOOKUP(tblRiskRegister32[[#This Row],[Asset Class]],tblInherentImpacts30[],5,FALSE)</f>
        <v>4</v>
      </c>
      <c r="O78" s="24" t="str">
        <f>IFERROR(MAX(tblRiskRegister32[[#This Row],[Impact to Mission]:[Impact to Obligations]])*tblRiskRegister32[[#This Row],[Expectancy Score]],"")</f>
        <v/>
      </c>
      <c r="P78" s="24" t="str">
        <f>tblRiskRegister32[[#This Row],[Risk Score]]</f>
        <v/>
      </c>
      <c r="Q78" s="50"/>
      <c r="R78" s="50">
        <v>9.4</v>
      </c>
      <c r="S78" s="15" t="s">
        <v>166</v>
      </c>
      <c r="T78" s="15" t="s">
        <v>351</v>
      </c>
      <c r="U78" s="15"/>
      <c r="V78" s="16"/>
      <c r="W78" s="23" t="str">
        <f>IFERROR(VLOOKUP(10*tblRiskRegister32[[#This Row],[Risk Treatment Safeguard Maturity Score]]+tblRiskRegister32[[#This Row],[VCDB Index]],tblHITIndexWeightTable[],4,FALSE),"")</f>
        <v/>
      </c>
      <c r="X78" s="23">
        <f>VLOOKUP(tblRiskRegister32[[#This Row],[Asset Class]],tblInherentImpacts30[],2,FALSE)</f>
        <v>3</v>
      </c>
      <c r="Y78" s="23">
        <f>VLOOKUP(tblRiskRegister32[[#This Row],[Asset Class]],tblInherentImpacts30[],3,FALSE)</f>
        <v>4</v>
      </c>
      <c r="Z78" s="23">
        <f>VLOOKUP(tblRiskRegister32[[#This Row],[Asset Class]],tblInherentImpacts30[],3,FALSE)</f>
        <v>4</v>
      </c>
      <c r="AA78" s="23">
        <f>VLOOKUP(tblRiskRegister32[[#This Row],[Asset Class]],tblInherentImpacts30[],4,FALSE)</f>
        <v>1</v>
      </c>
      <c r="AB78" s="23" t="str">
        <f>IFERROR(MAX(tblRiskRegister32[[#This Row],[Risk Treatment Safeguard Impact to Mission]:[Risk Treatment Safeguard Impact to Obligations]])*tblRiskRegister32[[#This Row],[Risk Treatment
Safeguard Expectancy Score]],"")</f>
        <v/>
      </c>
      <c r="AC78" s="23" t="str">
        <f>IF(tblRiskRegister32[[#This Row],[Risk Score]]&gt;AcceptableRisk,IF(tblRiskRegister32[[#This Row],[Risk Treatment Safeguard Risk Score]]&lt;AcceptableRisk, IF(tblRiskRegister32[[#This Row],[Risk Treatment Safeguard Risk Score]]&lt;=tblRiskRegister32[[#This Row],[Risk Score]],"Yes","No"),"No"),"Yes")</f>
        <v>No</v>
      </c>
      <c r="AD78" s="17"/>
      <c r="AE78" s="17"/>
      <c r="AF78" s="18"/>
    </row>
    <row r="79" spans="2:32" ht="42" hidden="1">
      <c r="B79" s="15" t="s">
        <v>93</v>
      </c>
      <c r="C79" s="50"/>
      <c r="D79" s="50">
        <v>9.5</v>
      </c>
      <c r="E79" s="14" t="s">
        <v>216</v>
      </c>
      <c r="F79" s="15"/>
      <c r="G79" s="15"/>
      <c r="H79" s="16"/>
      <c r="I79" s="24">
        <f>IFERROR(VLOOKUP(tblRiskRegister32[[#This Row],[Asset Class]],tblVCDBIndex[],4,FALSE),"")</f>
        <v>1</v>
      </c>
      <c r="J79" s="24" t="str">
        <f>IFERROR(VLOOKUP(10*tblRiskRegister32[[#This Row],[Safeguard Maturity Score]]+tblRiskRegister32[[#This Row],[VCDB Index]],tblHITIndexWeightTable[],4,FALSE),"")</f>
        <v/>
      </c>
      <c r="K79" s="24">
        <f>VLOOKUP(tblRiskRegister32[[#This Row],[Asset Class]],tblInherentImpacts30[],2,FALSE)</f>
        <v>4</v>
      </c>
      <c r="L79" s="24">
        <f>VLOOKUP(tblRiskRegister32[[#This Row],[Asset Class]],tblInherentImpacts30[],3,FALSE)</f>
        <v>5</v>
      </c>
      <c r="M79" s="24">
        <f>VLOOKUP(tblRiskRegister32[[#This Row],[Asset Class]],tblInherentImpacts30[],4,FALSE)</f>
        <v>1</v>
      </c>
      <c r="N79" s="24">
        <f>VLOOKUP(tblRiskRegister32[[#This Row],[Asset Class]],tblInherentImpacts30[],5,FALSE)</f>
        <v>5</v>
      </c>
      <c r="O79" s="24" t="str">
        <f>IFERROR(MAX(tblRiskRegister32[[#This Row],[Impact to Mission]:[Impact to Obligations]])*tblRiskRegister32[[#This Row],[Expectancy Score]],"")</f>
        <v/>
      </c>
      <c r="P79" s="24" t="str">
        <f>tblRiskRegister32[[#This Row],[Risk Score]]</f>
        <v/>
      </c>
      <c r="Q79" s="50"/>
      <c r="R79" s="50">
        <v>9.5</v>
      </c>
      <c r="S79" s="15" t="s">
        <v>216</v>
      </c>
      <c r="T79" s="15" t="s">
        <v>352</v>
      </c>
      <c r="U79" s="26"/>
      <c r="V79" s="16"/>
      <c r="W79" s="23" t="str">
        <f>IFERROR(VLOOKUP(10*tblRiskRegister32[[#This Row],[Risk Treatment Safeguard Maturity Score]]+tblRiskRegister32[[#This Row],[VCDB Index]],tblHITIndexWeightTable[],4,FALSE),"")</f>
        <v/>
      </c>
      <c r="X79" s="23">
        <f>VLOOKUP(tblRiskRegister32[[#This Row],[Asset Class]],tblInherentImpacts30[],2,FALSE)</f>
        <v>4</v>
      </c>
      <c r="Y79" s="23">
        <f>VLOOKUP(tblRiskRegister32[[#This Row],[Asset Class]],tblInherentImpacts30[],3,FALSE)</f>
        <v>5</v>
      </c>
      <c r="Z79" s="23">
        <f>VLOOKUP(tblRiskRegister32[[#This Row],[Asset Class]],tblInherentImpacts30[],3,FALSE)</f>
        <v>5</v>
      </c>
      <c r="AA79" s="23">
        <f>VLOOKUP(tblRiskRegister32[[#This Row],[Asset Class]],tblInherentImpacts30[],4,FALSE)</f>
        <v>1</v>
      </c>
      <c r="AB79" s="23" t="str">
        <f>IFERROR(MAX(tblRiskRegister32[[#This Row],[Risk Treatment Safeguard Impact to Mission]:[Risk Treatment Safeguard Impact to Obligations]])*tblRiskRegister32[[#This Row],[Risk Treatment
Safeguard Expectancy Score]],"")</f>
        <v/>
      </c>
      <c r="AC79" s="23" t="str">
        <f>IF(tblRiskRegister32[[#This Row],[Risk Score]]&gt;AcceptableRisk,IF(tblRiskRegister32[[#This Row],[Risk Treatment Safeguard Risk Score]]&lt;AcceptableRisk, IF(tblRiskRegister32[[#This Row],[Risk Treatment Safeguard Risk Score]]&lt;=tblRiskRegister32[[#This Row],[Risk Score]],"Yes","No"),"No"),"Yes")</f>
        <v>No</v>
      </c>
      <c r="AD79" s="17"/>
      <c r="AE79" s="17"/>
      <c r="AF79" s="18"/>
    </row>
    <row r="80" spans="2:32" ht="14" hidden="1">
      <c r="B80" s="15" t="s">
        <v>93</v>
      </c>
      <c r="C80" s="50"/>
      <c r="D80" s="50">
        <v>9.6</v>
      </c>
      <c r="E80" s="14" t="s">
        <v>217</v>
      </c>
      <c r="F80" s="15"/>
      <c r="G80" s="15"/>
      <c r="H80" s="16"/>
      <c r="I80" s="24">
        <f>IFERROR(VLOOKUP(tblRiskRegister32[[#This Row],[Asset Class]],tblVCDBIndex[],4,FALSE),"")</f>
        <v>1</v>
      </c>
      <c r="J80" s="24" t="str">
        <f>IFERROR(VLOOKUP(10*tblRiskRegister32[[#This Row],[Safeguard Maturity Score]]+tblRiskRegister32[[#This Row],[VCDB Index]],tblHITIndexWeightTable[],4,FALSE),"")</f>
        <v/>
      </c>
      <c r="K80" s="24">
        <f>VLOOKUP(tblRiskRegister32[[#This Row],[Asset Class]],tblInherentImpacts30[],2,FALSE)</f>
        <v>4</v>
      </c>
      <c r="L80" s="24">
        <f>VLOOKUP(tblRiskRegister32[[#This Row],[Asset Class]],tblInherentImpacts30[],3,FALSE)</f>
        <v>5</v>
      </c>
      <c r="M80" s="24">
        <f>VLOOKUP(tblRiskRegister32[[#This Row],[Asset Class]],tblInherentImpacts30[],4,FALSE)</f>
        <v>1</v>
      </c>
      <c r="N80" s="24">
        <f>VLOOKUP(tblRiskRegister32[[#This Row],[Asset Class]],tblInherentImpacts30[],5,FALSE)</f>
        <v>5</v>
      </c>
      <c r="O80" s="24" t="str">
        <f>IFERROR(MAX(tblRiskRegister32[[#This Row],[Impact to Mission]:[Impact to Obligations]])*tblRiskRegister32[[#This Row],[Expectancy Score]],"")</f>
        <v/>
      </c>
      <c r="P80" s="24" t="str">
        <f>tblRiskRegister32[[#This Row],[Risk Score]]</f>
        <v/>
      </c>
      <c r="Q80" s="50"/>
      <c r="R80" s="50">
        <v>9.6</v>
      </c>
      <c r="S80" s="15" t="s">
        <v>217</v>
      </c>
      <c r="T80" s="15" t="s">
        <v>353</v>
      </c>
      <c r="U80" s="26"/>
      <c r="V80" s="16"/>
      <c r="W80" s="23" t="str">
        <f>IFERROR(VLOOKUP(10*tblRiskRegister32[[#This Row],[Risk Treatment Safeguard Maturity Score]]+tblRiskRegister32[[#This Row],[VCDB Index]],tblHITIndexWeightTable[],4,FALSE),"")</f>
        <v/>
      </c>
      <c r="X80" s="23">
        <f>VLOOKUP(tblRiskRegister32[[#This Row],[Asset Class]],tblInherentImpacts30[],2,FALSE)</f>
        <v>4</v>
      </c>
      <c r="Y80" s="23">
        <f>VLOOKUP(tblRiskRegister32[[#This Row],[Asset Class]],tblInherentImpacts30[],3,FALSE)</f>
        <v>5</v>
      </c>
      <c r="Z80" s="23">
        <f>VLOOKUP(tblRiskRegister32[[#This Row],[Asset Class]],tblInherentImpacts30[],3,FALSE)</f>
        <v>5</v>
      </c>
      <c r="AA80" s="23">
        <f>VLOOKUP(tblRiskRegister32[[#This Row],[Asset Class]],tblInherentImpacts30[],4,FALSE)</f>
        <v>1</v>
      </c>
      <c r="AB80" s="23" t="str">
        <f>IFERROR(MAX(tblRiskRegister32[[#This Row],[Risk Treatment Safeguard Impact to Mission]:[Risk Treatment Safeguard Impact to Obligations]])*tblRiskRegister32[[#This Row],[Risk Treatment
Safeguard Expectancy Score]],"")</f>
        <v/>
      </c>
      <c r="AC80" s="23" t="str">
        <f>IF(tblRiskRegister32[[#This Row],[Risk Score]]&gt;AcceptableRisk,IF(tblRiskRegister32[[#This Row],[Risk Treatment Safeguard Risk Score]]&lt;AcceptableRisk, IF(tblRiskRegister32[[#This Row],[Risk Treatment Safeguard Risk Score]]&lt;=tblRiskRegister32[[#This Row],[Risk Score]],"Yes","No"),"No"),"Yes")</f>
        <v>No</v>
      </c>
      <c r="AD80" s="17"/>
      <c r="AE80" s="17"/>
      <c r="AF80" s="18"/>
    </row>
    <row r="81" spans="2:32" ht="42">
      <c r="B81" s="15" t="s">
        <v>91</v>
      </c>
      <c r="C81" s="50" t="s">
        <v>520</v>
      </c>
      <c r="D81" s="50">
        <v>10.1</v>
      </c>
      <c r="E81" s="14" t="s">
        <v>70</v>
      </c>
      <c r="F81" s="15" t="s">
        <v>565</v>
      </c>
      <c r="G81" s="15" t="s">
        <v>575</v>
      </c>
      <c r="H81" s="16">
        <v>5</v>
      </c>
      <c r="I81" s="24">
        <f>IFERROR(VLOOKUP(tblRiskRegister32[[#This Row],[Asset Class]],tblVCDBIndex[],4,FALSE),"")</f>
        <v>1</v>
      </c>
      <c r="J81" s="24">
        <f>IFERROR(VLOOKUP(10*tblRiskRegister32[[#This Row],[Safeguard Maturity Score]]+tblRiskRegister32[[#This Row],[VCDB Index]],tblHITIndexWeightTable[],4,FALSE),"")</f>
        <v>1</v>
      </c>
      <c r="K81" s="24">
        <f>VLOOKUP(tblRiskRegister32[[#This Row],[Asset Class]],tblInherentImpacts30[],2,FALSE)</f>
        <v>3</v>
      </c>
      <c r="L81" s="24">
        <f>VLOOKUP(tblRiskRegister32[[#This Row],[Asset Class]],tblInherentImpacts30[],3,FALSE)</f>
        <v>3</v>
      </c>
      <c r="M81" s="24">
        <f>VLOOKUP(tblRiskRegister32[[#This Row],[Asset Class]],tblInherentImpacts30[],4,FALSE)</f>
        <v>1</v>
      </c>
      <c r="N81" s="24">
        <f>VLOOKUP(tblRiskRegister32[[#This Row],[Asset Class]],tblInherentImpacts30[],5,FALSE)</f>
        <v>3</v>
      </c>
      <c r="O81" s="24">
        <f>IFERROR(MAX(tblRiskRegister32[[#This Row],[Impact to Mission]:[Impact to Obligations]])*tblRiskRegister32[[#This Row],[Expectancy Score]],"")</f>
        <v>3</v>
      </c>
      <c r="P81" s="24">
        <f>tblRiskRegister32[[#This Row],[Risk Score]]</f>
        <v>3</v>
      </c>
      <c r="Q81" s="50" t="s">
        <v>449</v>
      </c>
      <c r="R81" s="50">
        <v>10.1</v>
      </c>
      <c r="S81" s="15" t="s">
        <v>70</v>
      </c>
      <c r="T81" s="15" t="s">
        <v>354</v>
      </c>
      <c r="U81" s="26"/>
      <c r="V81" s="16"/>
      <c r="W81" s="23" t="str">
        <f>IFERROR(VLOOKUP(10*tblRiskRegister32[[#This Row],[Risk Treatment Safeguard Maturity Score]]+tblRiskRegister32[[#This Row],[VCDB Index]],tblHITIndexWeightTable[],4,FALSE),"")</f>
        <v/>
      </c>
      <c r="X81" s="23">
        <f>VLOOKUP(tblRiskRegister32[[#This Row],[Asset Class]],tblInherentImpacts30[],2,FALSE)</f>
        <v>3</v>
      </c>
      <c r="Y81" s="23">
        <f>VLOOKUP(tblRiskRegister32[[#This Row],[Asset Class]],tblInherentImpacts30[],3,FALSE)</f>
        <v>3</v>
      </c>
      <c r="Z81" s="23">
        <f>VLOOKUP(tblRiskRegister32[[#This Row],[Asset Class]],tblInherentImpacts30[],3,FALSE)</f>
        <v>3</v>
      </c>
      <c r="AA81" s="23">
        <f>VLOOKUP(tblRiskRegister32[[#This Row],[Asset Class]],tblInherentImpacts30[],4,FALSE)</f>
        <v>1</v>
      </c>
      <c r="AB81" s="23" t="str">
        <f>IFERROR(MAX(tblRiskRegister32[[#This Row],[Risk Treatment Safeguard Impact to Mission]:[Risk Treatment Safeguard Impact to Obligations]])*tblRiskRegister32[[#This Row],[Risk Treatment
Safeguard Expectancy Score]],"")</f>
        <v/>
      </c>
      <c r="AC81" s="23" t="str">
        <f>IF(tblRiskRegister32[[#This Row],[Risk Score]]&gt;AcceptableRisk,IF(tblRiskRegister32[[#This Row],[Risk Treatment Safeguard Risk Score]]&lt;AcceptableRisk, IF(tblRiskRegister32[[#This Row],[Risk Treatment Safeguard Risk Score]]&lt;=tblRiskRegister32[[#This Row],[Risk Score]],"Yes","No"),"No"),"Yes")</f>
        <v>Yes</v>
      </c>
      <c r="AD81" s="17"/>
      <c r="AE81" s="17"/>
      <c r="AF81" s="18"/>
    </row>
    <row r="82" spans="2:32" ht="42">
      <c r="B82" s="15" t="s">
        <v>91</v>
      </c>
      <c r="C82" s="50" t="s">
        <v>520</v>
      </c>
      <c r="D82" s="50">
        <v>10.199999999999999</v>
      </c>
      <c r="E82" s="14" t="s">
        <v>71</v>
      </c>
      <c r="F82" s="15" t="s">
        <v>542</v>
      </c>
      <c r="G82" s="15" t="s">
        <v>579</v>
      </c>
      <c r="H82" s="16">
        <v>1</v>
      </c>
      <c r="I82" s="24">
        <f>IFERROR(VLOOKUP(tblRiskRegister32[[#This Row],[Asset Class]],tblVCDBIndex[],4,FALSE),"")</f>
        <v>1</v>
      </c>
      <c r="J82" s="24">
        <f>IFERROR(VLOOKUP(10*tblRiskRegister32[[#This Row],[Safeguard Maturity Score]]+tblRiskRegister32[[#This Row],[VCDB Index]],tblHITIndexWeightTable[],4,FALSE),"")</f>
        <v>4</v>
      </c>
      <c r="K82" s="24">
        <f>VLOOKUP(tblRiskRegister32[[#This Row],[Asset Class]],tblInherentImpacts30[],2,FALSE)</f>
        <v>3</v>
      </c>
      <c r="L82" s="24">
        <f>VLOOKUP(tblRiskRegister32[[#This Row],[Asset Class]],tblInherentImpacts30[],3,FALSE)</f>
        <v>3</v>
      </c>
      <c r="M82" s="24">
        <f>VLOOKUP(tblRiskRegister32[[#This Row],[Asset Class]],tblInherentImpacts30[],4,FALSE)</f>
        <v>1</v>
      </c>
      <c r="N82" s="24">
        <f>VLOOKUP(tblRiskRegister32[[#This Row],[Asset Class]],tblInherentImpacts30[],5,FALSE)</f>
        <v>3</v>
      </c>
      <c r="O82" s="24">
        <f>IFERROR(MAX(tblRiskRegister32[[#This Row],[Impact to Mission]:[Impact to Obligations]])*tblRiskRegister32[[#This Row],[Expectancy Score]],"")</f>
        <v>12</v>
      </c>
      <c r="P82" s="24">
        <f>tblRiskRegister32[[#This Row],[Risk Score]]</f>
        <v>12</v>
      </c>
      <c r="Q82" s="50" t="s">
        <v>448</v>
      </c>
      <c r="R82" s="50">
        <v>10.199999999999999</v>
      </c>
      <c r="S82" s="15" t="s">
        <v>71</v>
      </c>
      <c r="T82" s="15" t="s">
        <v>355</v>
      </c>
      <c r="U82" s="26"/>
      <c r="V82" s="16"/>
      <c r="W82" s="23" t="str">
        <f>IFERROR(VLOOKUP(10*tblRiskRegister32[[#This Row],[Risk Treatment Safeguard Maturity Score]]+tblRiskRegister32[[#This Row],[VCDB Index]],tblHITIndexWeightTable[],4,FALSE),"")</f>
        <v/>
      </c>
      <c r="X82" s="23">
        <f>VLOOKUP(tblRiskRegister32[[#This Row],[Asset Class]],tblInherentImpacts30[],2,FALSE)</f>
        <v>3</v>
      </c>
      <c r="Y82" s="23">
        <f>VLOOKUP(tblRiskRegister32[[#This Row],[Asset Class]],tblInherentImpacts30[],3,FALSE)</f>
        <v>3</v>
      </c>
      <c r="Z82" s="23">
        <f>VLOOKUP(tblRiskRegister32[[#This Row],[Asset Class]],tblInherentImpacts30[],3,FALSE)</f>
        <v>3</v>
      </c>
      <c r="AA82" s="23">
        <f>VLOOKUP(tblRiskRegister32[[#This Row],[Asset Class]],tblInherentImpacts30[],4,FALSE)</f>
        <v>1</v>
      </c>
      <c r="AB82" s="23" t="str">
        <f>IFERROR(MAX(tblRiskRegister32[[#This Row],[Risk Treatment Safeguard Impact to Mission]:[Risk Treatment Safeguard Impact to Obligations]])*tblRiskRegister32[[#This Row],[Risk Treatment
Safeguard Expectancy Score]],"")</f>
        <v/>
      </c>
      <c r="AC82" s="23" t="str">
        <f>IF(tblRiskRegister32[[#This Row],[Risk Score]]&gt;AcceptableRisk,IF(tblRiskRegister32[[#This Row],[Risk Treatment Safeguard Risk Score]]&lt;AcceptableRisk, IF(tblRiskRegister32[[#This Row],[Risk Treatment Safeguard Risk Score]]&lt;=tblRiskRegister32[[#This Row],[Risk Score]],"Yes","No"),"No"),"Yes")</f>
        <v>No</v>
      </c>
      <c r="AD82" s="17"/>
      <c r="AE82" s="17"/>
      <c r="AF82" s="18"/>
    </row>
    <row r="83" spans="2:32" ht="28" hidden="1">
      <c r="B83" s="15" t="s">
        <v>91</v>
      </c>
      <c r="C83" s="50"/>
      <c r="D83" s="50">
        <v>10.3</v>
      </c>
      <c r="E83" s="14" t="s">
        <v>72</v>
      </c>
      <c r="F83" s="15"/>
      <c r="G83" s="15"/>
      <c r="H83" s="16"/>
      <c r="I83" s="24">
        <f>IFERROR(VLOOKUP(tblRiskRegister32[[#This Row],[Asset Class]],tblVCDBIndex[],4,FALSE),"")</f>
        <v>1</v>
      </c>
      <c r="J83" s="24" t="str">
        <f>IFERROR(VLOOKUP(10*tblRiskRegister32[[#This Row],[Safeguard Maturity Score]]+tblRiskRegister32[[#This Row],[VCDB Index]],tblHITIndexWeightTable[],4,FALSE),"")</f>
        <v/>
      </c>
      <c r="K83" s="24">
        <f>VLOOKUP(tblRiskRegister32[[#This Row],[Asset Class]],tblInherentImpacts30[],2,FALSE)</f>
        <v>3</v>
      </c>
      <c r="L83" s="24">
        <f>VLOOKUP(tblRiskRegister32[[#This Row],[Asset Class]],tblInherentImpacts30[],3,FALSE)</f>
        <v>3</v>
      </c>
      <c r="M83" s="24">
        <f>VLOOKUP(tblRiskRegister32[[#This Row],[Asset Class]],tblInherentImpacts30[],4,FALSE)</f>
        <v>1</v>
      </c>
      <c r="N83" s="24">
        <f>VLOOKUP(tblRiskRegister32[[#This Row],[Asset Class]],tblInherentImpacts30[],5,FALSE)</f>
        <v>3</v>
      </c>
      <c r="O83" s="24" t="str">
        <f>IFERROR(MAX(tblRiskRegister32[[#This Row],[Impact to Mission]:[Impact to Obligations]])*tblRiskRegister32[[#This Row],[Expectancy Score]],"")</f>
        <v/>
      </c>
      <c r="P83" s="24" t="str">
        <f>tblRiskRegister32[[#This Row],[Risk Score]]</f>
        <v/>
      </c>
      <c r="Q83" s="50"/>
      <c r="R83" s="50">
        <v>10.3</v>
      </c>
      <c r="S83" s="15" t="s">
        <v>72</v>
      </c>
      <c r="T83" s="15" t="s">
        <v>356</v>
      </c>
      <c r="U83" s="26"/>
      <c r="V83" s="16"/>
      <c r="W83" s="23" t="str">
        <f>IFERROR(VLOOKUP(10*tblRiskRegister32[[#This Row],[Risk Treatment Safeguard Maturity Score]]+tblRiskRegister32[[#This Row],[VCDB Index]],tblHITIndexWeightTable[],4,FALSE),"")</f>
        <v/>
      </c>
      <c r="X83" s="23">
        <f>VLOOKUP(tblRiskRegister32[[#This Row],[Asset Class]],tblInherentImpacts30[],2,FALSE)</f>
        <v>3</v>
      </c>
      <c r="Y83" s="23">
        <f>VLOOKUP(tblRiskRegister32[[#This Row],[Asset Class]],tblInherentImpacts30[],3,FALSE)</f>
        <v>3</v>
      </c>
      <c r="Z83" s="23">
        <f>VLOOKUP(tblRiskRegister32[[#This Row],[Asset Class]],tblInherentImpacts30[],3,FALSE)</f>
        <v>3</v>
      </c>
      <c r="AA83" s="23">
        <f>VLOOKUP(tblRiskRegister32[[#This Row],[Asset Class]],tblInherentImpacts30[],4,FALSE)</f>
        <v>1</v>
      </c>
      <c r="AB83" s="23" t="str">
        <f>IFERROR(MAX(tblRiskRegister32[[#This Row],[Risk Treatment Safeguard Impact to Mission]:[Risk Treatment Safeguard Impact to Obligations]])*tblRiskRegister32[[#This Row],[Risk Treatment
Safeguard Expectancy Score]],"")</f>
        <v/>
      </c>
      <c r="AC83" s="23" t="str">
        <f>IF(tblRiskRegister32[[#This Row],[Risk Score]]&gt;AcceptableRisk,IF(tblRiskRegister32[[#This Row],[Risk Treatment Safeguard Risk Score]]&lt;AcceptableRisk, IF(tblRiskRegister32[[#This Row],[Risk Treatment Safeguard Risk Score]]&lt;=tblRiskRegister32[[#This Row],[Risk Score]],"Yes","No"),"No"),"Yes")</f>
        <v>No</v>
      </c>
      <c r="AD83" s="17"/>
      <c r="AE83" s="17"/>
      <c r="AF83" s="18"/>
    </row>
    <row r="84" spans="2:32" ht="28" hidden="1">
      <c r="B84" s="15" t="s">
        <v>91</v>
      </c>
      <c r="C84" s="50"/>
      <c r="D84" s="50">
        <v>10.4</v>
      </c>
      <c r="E84" s="14" t="s">
        <v>190</v>
      </c>
      <c r="F84" s="15"/>
      <c r="G84" s="15"/>
      <c r="H84" s="16"/>
      <c r="I84" s="24">
        <f>IFERROR(VLOOKUP(tblRiskRegister32[[#This Row],[Asset Class]],tblVCDBIndex[],4,FALSE),"")</f>
        <v>1</v>
      </c>
      <c r="J84" s="24" t="str">
        <f>IFERROR(VLOOKUP(10*tblRiskRegister32[[#This Row],[Safeguard Maturity Score]]+tblRiskRegister32[[#This Row],[VCDB Index]],tblHITIndexWeightTable[],4,FALSE),"")</f>
        <v/>
      </c>
      <c r="K84" s="24">
        <f>VLOOKUP(tblRiskRegister32[[#This Row],[Asset Class]],tblInherentImpacts30[],2,FALSE)</f>
        <v>3</v>
      </c>
      <c r="L84" s="24">
        <f>VLOOKUP(tblRiskRegister32[[#This Row],[Asset Class]],tblInherentImpacts30[],3,FALSE)</f>
        <v>3</v>
      </c>
      <c r="M84" s="24">
        <f>VLOOKUP(tblRiskRegister32[[#This Row],[Asset Class]],tblInherentImpacts30[],4,FALSE)</f>
        <v>1</v>
      </c>
      <c r="N84" s="24">
        <f>VLOOKUP(tblRiskRegister32[[#This Row],[Asset Class]],tblInherentImpacts30[],5,FALSE)</f>
        <v>3</v>
      </c>
      <c r="O84" s="24" t="str">
        <f>IFERROR(MAX(tblRiskRegister32[[#This Row],[Impact to Mission]:[Impact to Obligations]])*tblRiskRegister32[[#This Row],[Expectancy Score]],"")</f>
        <v/>
      </c>
      <c r="P84" s="24" t="str">
        <f>tblRiskRegister32[[#This Row],[Risk Score]]</f>
        <v/>
      </c>
      <c r="Q84" s="50"/>
      <c r="R84" s="50">
        <v>10.4</v>
      </c>
      <c r="S84" s="15" t="s">
        <v>190</v>
      </c>
      <c r="T84" s="15" t="s">
        <v>357</v>
      </c>
      <c r="U84" s="26"/>
      <c r="V84" s="16"/>
      <c r="W84" s="23" t="str">
        <f>IFERROR(VLOOKUP(10*tblRiskRegister32[[#This Row],[Risk Treatment Safeguard Maturity Score]]+tblRiskRegister32[[#This Row],[VCDB Index]],tblHITIndexWeightTable[],4,FALSE),"")</f>
        <v/>
      </c>
      <c r="X84" s="23">
        <f>VLOOKUP(tblRiskRegister32[[#This Row],[Asset Class]],tblInherentImpacts30[],2,FALSE)</f>
        <v>3</v>
      </c>
      <c r="Y84" s="23">
        <f>VLOOKUP(tblRiskRegister32[[#This Row],[Asset Class]],tblInherentImpacts30[],3,FALSE)</f>
        <v>3</v>
      </c>
      <c r="Z84" s="23">
        <f>VLOOKUP(tblRiskRegister32[[#This Row],[Asset Class]],tblInherentImpacts30[],3,FALSE)</f>
        <v>3</v>
      </c>
      <c r="AA84" s="23">
        <f>VLOOKUP(tblRiskRegister32[[#This Row],[Asset Class]],tblInherentImpacts30[],4,FALSE)</f>
        <v>1</v>
      </c>
      <c r="AB84" s="23" t="str">
        <f>IFERROR(MAX(tblRiskRegister32[[#This Row],[Risk Treatment Safeguard Impact to Mission]:[Risk Treatment Safeguard Impact to Obligations]])*tblRiskRegister32[[#This Row],[Risk Treatment
Safeguard Expectancy Score]],"")</f>
        <v/>
      </c>
      <c r="AC84" s="23" t="str">
        <f>IF(tblRiskRegister32[[#This Row],[Risk Score]]&gt;AcceptableRisk,IF(tblRiskRegister32[[#This Row],[Risk Treatment Safeguard Risk Score]]&lt;AcceptableRisk, IF(tblRiskRegister32[[#This Row],[Risk Treatment Safeguard Risk Score]]&lt;=tblRiskRegister32[[#This Row],[Risk Score]],"Yes","No"),"No"),"Yes")</f>
        <v>No</v>
      </c>
      <c r="AD84" s="17"/>
      <c r="AE84" s="17"/>
      <c r="AF84" s="18"/>
    </row>
    <row r="85" spans="2:32" ht="42" hidden="1">
      <c r="B85" s="15" t="s">
        <v>91</v>
      </c>
      <c r="C85" s="50"/>
      <c r="D85" s="50">
        <v>10.5</v>
      </c>
      <c r="E85" s="14" t="s">
        <v>191</v>
      </c>
      <c r="F85" s="15"/>
      <c r="G85" s="15"/>
      <c r="H85" s="16"/>
      <c r="I85" s="24">
        <f>IFERROR(VLOOKUP(tblRiskRegister32[[#This Row],[Asset Class]],tblVCDBIndex[],4,FALSE),"")</f>
        <v>1</v>
      </c>
      <c r="J85" s="24" t="str">
        <f>IFERROR(VLOOKUP(10*tblRiskRegister32[[#This Row],[Safeguard Maturity Score]]+tblRiskRegister32[[#This Row],[VCDB Index]],tblHITIndexWeightTable[],4,FALSE),"")</f>
        <v/>
      </c>
      <c r="K85" s="24">
        <f>VLOOKUP(tblRiskRegister32[[#This Row],[Asset Class]],tblInherentImpacts30[],2,FALSE)</f>
        <v>3</v>
      </c>
      <c r="L85" s="24">
        <f>VLOOKUP(tblRiskRegister32[[#This Row],[Asset Class]],tblInherentImpacts30[],3,FALSE)</f>
        <v>3</v>
      </c>
      <c r="M85" s="24">
        <f>VLOOKUP(tblRiskRegister32[[#This Row],[Asset Class]],tblInherentImpacts30[],4,FALSE)</f>
        <v>1</v>
      </c>
      <c r="N85" s="24">
        <f>VLOOKUP(tblRiskRegister32[[#This Row],[Asset Class]],tblInherentImpacts30[],5,FALSE)</f>
        <v>3</v>
      </c>
      <c r="O85" s="24" t="str">
        <f>IFERROR(MAX(tblRiskRegister32[[#This Row],[Impact to Mission]:[Impact to Obligations]])*tblRiskRegister32[[#This Row],[Expectancy Score]],"")</f>
        <v/>
      </c>
      <c r="P85" s="24" t="str">
        <f>tblRiskRegister32[[#This Row],[Risk Score]]</f>
        <v/>
      </c>
      <c r="Q85" s="50"/>
      <c r="R85" s="50">
        <v>10.5</v>
      </c>
      <c r="S85" s="15" t="s">
        <v>191</v>
      </c>
      <c r="T85" s="15" t="s">
        <v>358</v>
      </c>
      <c r="U85" s="26"/>
      <c r="V85" s="16"/>
      <c r="W85" s="23" t="str">
        <f>IFERROR(VLOOKUP(10*tblRiskRegister32[[#This Row],[Risk Treatment Safeguard Maturity Score]]+tblRiskRegister32[[#This Row],[VCDB Index]],tblHITIndexWeightTable[],4,FALSE),"")</f>
        <v/>
      </c>
      <c r="X85" s="23">
        <f>VLOOKUP(tblRiskRegister32[[#This Row],[Asset Class]],tblInherentImpacts30[],2,FALSE)</f>
        <v>3</v>
      </c>
      <c r="Y85" s="23">
        <f>VLOOKUP(tblRiskRegister32[[#This Row],[Asset Class]],tblInherentImpacts30[],3,FALSE)</f>
        <v>3</v>
      </c>
      <c r="Z85" s="23">
        <f>VLOOKUP(tblRiskRegister32[[#This Row],[Asset Class]],tblInherentImpacts30[],3,FALSE)</f>
        <v>3</v>
      </c>
      <c r="AA85" s="23">
        <f>VLOOKUP(tblRiskRegister32[[#This Row],[Asset Class]],tblInherentImpacts30[],4,FALSE)</f>
        <v>1</v>
      </c>
      <c r="AB85" s="23" t="str">
        <f>IFERROR(MAX(tblRiskRegister32[[#This Row],[Risk Treatment Safeguard Impact to Mission]:[Risk Treatment Safeguard Impact to Obligations]])*tblRiskRegister32[[#This Row],[Risk Treatment
Safeguard Expectancy Score]],"")</f>
        <v/>
      </c>
      <c r="AC85" s="23" t="str">
        <f>IF(tblRiskRegister32[[#This Row],[Risk Score]]&gt;AcceptableRisk,IF(tblRiskRegister32[[#This Row],[Risk Treatment Safeguard Risk Score]]&lt;AcceptableRisk, IF(tblRiskRegister32[[#This Row],[Risk Treatment Safeguard Risk Score]]&lt;=tblRiskRegister32[[#This Row],[Risk Score]],"Yes","No"),"No"),"Yes")</f>
        <v>No</v>
      </c>
      <c r="AD85" s="17"/>
      <c r="AE85" s="17"/>
      <c r="AF85" s="18"/>
    </row>
    <row r="86" spans="2:32" ht="28" hidden="1">
      <c r="B86" s="15" t="s">
        <v>91</v>
      </c>
      <c r="C86" s="50"/>
      <c r="D86" s="50">
        <v>10.6</v>
      </c>
      <c r="E86" s="14" t="s">
        <v>192</v>
      </c>
      <c r="F86" s="15"/>
      <c r="G86" s="15"/>
      <c r="H86" s="16"/>
      <c r="I86" s="24">
        <f>IFERROR(VLOOKUP(tblRiskRegister32[[#This Row],[Asset Class]],tblVCDBIndex[],4,FALSE),"")</f>
        <v>1</v>
      </c>
      <c r="J86" s="24" t="str">
        <f>IFERROR(VLOOKUP(10*tblRiskRegister32[[#This Row],[Safeguard Maturity Score]]+tblRiskRegister32[[#This Row],[VCDB Index]],tblHITIndexWeightTable[],4,FALSE),"")</f>
        <v/>
      </c>
      <c r="K86" s="24">
        <f>VLOOKUP(tblRiskRegister32[[#This Row],[Asset Class]],tblInherentImpacts30[],2,FALSE)</f>
        <v>3</v>
      </c>
      <c r="L86" s="24">
        <f>VLOOKUP(tblRiskRegister32[[#This Row],[Asset Class]],tblInherentImpacts30[],3,FALSE)</f>
        <v>3</v>
      </c>
      <c r="M86" s="24">
        <f>VLOOKUP(tblRiskRegister32[[#This Row],[Asset Class]],tblInherentImpacts30[],4,FALSE)</f>
        <v>1</v>
      </c>
      <c r="N86" s="24">
        <f>VLOOKUP(tblRiskRegister32[[#This Row],[Asset Class]],tblInherentImpacts30[],5,FALSE)</f>
        <v>3</v>
      </c>
      <c r="O86" s="24" t="str">
        <f>IFERROR(MAX(tblRiskRegister32[[#This Row],[Impact to Mission]:[Impact to Obligations]])*tblRiskRegister32[[#This Row],[Expectancy Score]],"")</f>
        <v/>
      </c>
      <c r="P86" s="24" t="str">
        <f>tblRiskRegister32[[#This Row],[Risk Score]]</f>
        <v/>
      </c>
      <c r="Q86" s="50"/>
      <c r="R86" s="50">
        <v>10.6</v>
      </c>
      <c r="S86" s="15" t="s">
        <v>192</v>
      </c>
      <c r="T86" s="15" t="s">
        <v>359</v>
      </c>
      <c r="U86" s="26"/>
      <c r="V86" s="16"/>
      <c r="W86" s="23" t="str">
        <f>IFERROR(VLOOKUP(10*tblRiskRegister32[[#This Row],[Risk Treatment Safeguard Maturity Score]]+tblRiskRegister32[[#This Row],[VCDB Index]],tblHITIndexWeightTable[],4,FALSE),"")</f>
        <v/>
      </c>
      <c r="X86" s="23">
        <f>VLOOKUP(tblRiskRegister32[[#This Row],[Asset Class]],tblInherentImpacts30[],2,FALSE)</f>
        <v>3</v>
      </c>
      <c r="Y86" s="23">
        <f>VLOOKUP(tblRiskRegister32[[#This Row],[Asset Class]],tblInherentImpacts30[],3,FALSE)</f>
        <v>3</v>
      </c>
      <c r="Z86" s="23">
        <f>VLOOKUP(tblRiskRegister32[[#This Row],[Asset Class]],tblInherentImpacts30[],3,FALSE)</f>
        <v>3</v>
      </c>
      <c r="AA86" s="23">
        <f>VLOOKUP(tblRiskRegister32[[#This Row],[Asset Class]],tblInherentImpacts30[],4,FALSE)</f>
        <v>1</v>
      </c>
      <c r="AB86" s="23" t="str">
        <f>IFERROR(MAX(tblRiskRegister32[[#This Row],[Risk Treatment Safeguard Impact to Mission]:[Risk Treatment Safeguard Impact to Obligations]])*tblRiskRegister32[[#This Row],[Risk Treatment
Safeguard Expectancy Score]],"")</f>
        <v/>
      </c>
      <c r="AC86" s="23" t="str">
        <f>IF(tblRiskRegister32[[#This Row],[Risk Score]]&gt;AcceptableRisk,IF(tblRiskRegister32[[#This Row],[Risk Treatment Safeguard Risk Score]]&lt;AcceptableRisk, IF(tblRiskRegister32[[#This Row],[Risk Treatment Safeguard Risk Score]]&lt;=tblRiskRegister32[[#This Row],[Risk Score]],"Yes","No"),"No"),"Yes")</f>
        <v>No</v>
      </c>
      <c r="AD86" s="17"/>
      <c r="AE86" s="17"/>
      <c r="AF86" s="18"/>
    </row>
    <row r="87" spans="2:32" ht="28" hidden="1">
      <c r="B87" s="15" t="s">
        <v>91</v>
      </c>
      <c r="C87" s="50"/>
      <c r="D87" s="50">
        <v>10.7</v>
      </c>
      <c r="E87" s="14" t="s">
        <v>193</v>
      </c>
      <c r="F87" s="15"/>
      <c r="G87" s="15"/>
      <c r="H87" s="16"/>
      <c r="I87" s="24">
        <f>IFERROR(VLOOKUP(tblRiskRegister32[[#This Row],[Asset Class]],tblVCDBIndex[],4,FALSE),"")</f>
        <v>1</v>
      </c>
      <c r="J87" s="24" t="str">
        <f>IFERROR(VLOOKUP(10*tblRiskRegister32[[#This Row],[Safeguard Maturity Score]]+tblRiskRegister32[[#This Row],[VCDB Index]],tblHITIndexWeightTable[],4,FALSE),"")</f>
        <v/>
      </c>
      <c r="K87" s="24">
        <f>VLOOKUP(tblRiskRegister32[[#This Row],[Asset Class]],tblInherentImpacts30[],2,FALSE)</f>
        <v>3</v>
      </c>
      <c r="L87" s="24">
        <f>VLOOKUP(tblRiskRegister32[[#This Row],[Asset Class]],tblInherentImpacts30[],3,FALSE)</f>
        <v>3</v>
      </c>
      <c r="M87" s="24">
        <f>VLOOKUP(tblRiskRegister32[[#This Row],[Asset Class]],tblInherentImpacts30[],4,FALSE)</f>
        <v>1</v>
      </c>
      <c r="N87" s="24">
        <f>VLOOKUP(tblRiskRegister32[[#This Row],[Asset Class]],tblInherentImpacts30[],5,FALSE)</f>
        <v>3</v>
      </c>
      <c r="O87" s="24" t="str">
        <f>IFERROR(MAX(tblRiskRegister32[[#This Row],[Impact to Mission]:[Impact to Obligations]])*tblRiskRegister32[[#This Row],[Expectancy Score]],"")</f>
        <v/>
      </c>
      <c r="P87" s="24" t="str">
        <f>tblRiskRegister32[[#This Row],[Risk Score]]</f>
        <v/>
      </c>
      <c r="Q87" s="50"/>
      <c r="R87" s="50">
        <v>10.7</v>
      </c>
      <c r="S87" s="15" t="s">
        <v>193</v>
      </c>
      <c r="T87" s="15" t="s">
        <v>360</v>
      </c>
      <c r="U87" s="26"/>
      <c r="V87" s="16"/>
      <c r="W87" s="23" t="str">
        <f>IFERROR(VLOOKUP(10*tblRiskRegister32[[#This Row],[Risk Treatment Safeguard Maturity Score]]+tblRiskRegister32[[#This Row],[VCDB Index]],tblHITIndexWeightTable[],4,FALSE),"")</f>
        <v/>
      </c>
      <c r="X87" s="23">
        <f>VLOOKUP(tblRiskRegister32[[#This Row],[Asset Class]],tblInherentImpacts30[],2,FALSE)</f>
        <v>3</v>
      </c>
      <c r="Y87" s="23">
        <f>VLOOKUP(tblRiskRegister32[[#This Row],[Asset Class]],tblInherentImpacts30[],3,FALSE)</f>
        <v>3</v>
      </c>
      <c r="Z87" s="23">
        <f>VLOOKUP(tblRiskRegister32[[#This Row],[Asset Class]],tblInherentImpacts30[],3,FALSE)</f>
        <v>3</v>
      </c>
      <c r="AA87" s="23">
        <f>VLOOKUP(tblRiskRegister32[[#This Row],[Asset Class]],tblInherentImpacts30[],4,FALSE)</f>
        <v>1</v>
      </c>
      <c r="AB87" s="23" t="str">
        <f>IFERROR(MAX(tblRiskRegister32[[#This Row],[Risk Treatment Safeguard Impact to Mission]:[Risk Treatment Safeguard Impact to Obligations]])*tblRiskRegister32[[#This Row],[Risk Treatment
Safeguard Expectancy Score]],"")</f>
        <v/>
      </c>
      <c r="AC87" s="23" t="str">
        <f>IF(tblRiskRegister32[[#This Row],[Risk Score]]&gt;AcceptableRisk,IF(tblRiskRegister32[[#This Row],[Risk Treatment Safeguard Risk Score]]&lt;AcceptableRisk, IF(tblRiskRegister32[[#This Row],[Risk Treatment Safeguard Risk Score]]&lt;=tblRiskRegister32[[#This Row],[Risk Score]],"Yes","No"),"No"),"Yes")</f>
        <v>No</v>
      </c>
      <c r="AD87" s="17"/>
      <c r="AE87" s="17"/>
      <c r="AF87" s="18"/>
    </row>
    <row r="88" spans="2:32" ht="56" hidden="1">
      <c r="B88" s="15" t="s">
        <v>90</v>
      </c>
      <c r="C88" s="50"/>
      <c r="D88" s="50">
        <v>11.1</v>
      </c>
      <c r="E88" s="14" t="s">
        <v>73</v>
      </c>
      <c r="F88" s="15"/>
      <c r="G88" s="15"/>
      <c r="H88" s="16"/>
      <c r="I88" s="24">
        <f>IFERROR(VLOOKUP(tblRiskRegister32[[#This Row],[Asset Class]],tblVCDBIndex[],4,FALSE),"")</f>
        <v>3</v>
      </c>
      <c r="J88" s="24" t="str">
        <f>IFERROR(VLOOKUP(10*tblRiskRegister32[[#This Row],[Safeguard Maturity Score]]+tblRiskRegister32[[#This Row],[VCDB Index]],tblHITIndexWeightTable[],4,FALSE),"")</f>
        <v/>
      </c>
      <c r="K88" s="24">
        <f>VLOOKUP(tblRiskRegister32[[#This Row],[Asset Class]],tblInherentImpacts30[],2,FALSE)</f>
        <v>4</v>
      </c>
      <c r="L88" s="24">
        <f>VLOOKUP(tblRiskRegister32[[#This Row],[Asset Class]],tblInherentImpacts30[],3,FALSE)</f>
        <v>4</v>
      </c>
      <c r="M88" s="24">
        <f>VLOOKUP(tblRiskRegister32[[#This Row],[Asset Class]],tblInherentImpacts30[],4,FALSE)</f>
        <v>1</v>
      </c>
      <c r="N88" s="24">
        <f>VLOOKUP(tblRiskRegister32[[#This Row],[Asset Class]],tblInherentImpacts30[],5,FALSE)</f>
        <v>4</v>
      </c>
      <c r="O88" s="24" t="str">
        <f>IFERROR(MAX(tblRiskRegister32[[#This Row],[Impact to Mission]:[Impact to Obligations]])*tblRiskRegister32[[#This Row],[Expectancy Score]],"")</f>
        <v/>
      </c>
      <c r="P88" s="24" t="str">
        <f>tblRiskRegister32[[#This Row],[Risk Score]]</f>
        <v/>
      </c>
      <c r="Q88" s="50"/>
      <c r="R88" s="50">
        <v>11.1</v>
      </c>
      <c r="S88" s="15" t="s">
        <v>73</v>
      </c>
      <c r="T88" s="15" t="s">
        <v>361</v>
      </c>
      <c r="U88" s="15"/>
      <c r="V88" s="16"/>
      <c r="W88" s="23" t="str">
        <f>IFERROR(VLOOKUP(10*tblRiskRegister32[[#This Row],[Risk Treatment Safeguard Maturity Score]]+tblRiskRegister32[[#This Row],[VCDB Index]],tblHITIndexWeightTable[],4,FALSE),"")</f>
        <v/>
      </c>
      <c r="X88" s="23">
        <f>VLOOKUP(tblRiskRegister32[[#This Row],[Asset Class]],tblInherentImpacts30[],2,FALSE)</f>
        <v>4</v>
      </c>
      <c r="Y88" s="23">
        <f>VLOOKUP(tblRiskRegister32[[#This Row],[Asset Class]],tblInherentImpacts30[],3,FALSE)</f>
        <v>4</v>
      </c>
      <c r="Z88" s="23">
        <f>VLOOKUP(tblRiskRegister32[[#This Row],[Asset Class]],tblInherentImpacts30[],3,FALSE)</f>
        <v>4</v>
      </c>
      <c r="AA88" s="23">
        <f>VLOOKUP(tblRiskRegister32[[#This Row],[Asset Class]],tblInherentImpacts30[],4,FALSE)</f>
        <v>1</v>
      </c>
      <c r="AB88" s="23" t="str">
        <f>IFERROR(MAX(tblRiskRegister32[[#This Row],[Risk Treatment Safeguard Impact to Mission]:[Risk Treatment Safeguard Impact to Obligations]])*tblRiskRegister32[[#This Row],[Risk Treatment
Safeguard Expectancy Score]],"")</f>
        <v/>
      </c>
      <c r="AC88" s="23" t="str">
        <f>IF(tblRiskRegister32[[#This Row],[Risk Score]]&gt;AcceptableRisk,IF(tblRiskRegister32[[#This Row],[Risk Treatment Safeguard Risk Score]]&lt;AcceptableRisk, IF(tblRiskRegister32[[#This Row],[Risk Treatment Safeguard Risk Score]]&lt;=tblRiskRegister32[[#This Row],[Risk Score]],"Yes","No"),"No"),"Yes")</f>
        <v>No</v>
      </c>
      <c r="AD88" s="17"/>
      <c r="AE88" s="17"/>
      <c r="AF88" s="18"/>
    </row>
    <row r="89" spans="2:32" ht="42">
      <c r="B89" s="15" t="s">
        <v>90</v>
      </c>
      <c r="C89" s="50" t="s">
        <v>520</v>
      </c>
      <c r="D89" s="50">
        <v>11.2</v>
      </c>
      <c r="E89" s="14" t="s">
        <v>74</v>
      </c>
      <c r="F89" s="15" t="s">
        <v>542</v>
      </c>
      <c r="G89" s="15" t="s">
        <v>580</v>
      </c>
      <c r="H89" s="16">
        <v>1</v>
      </c>
      <c r="I89" s="24">
        <f>IFERROR(VLOOKUP(tblRiskRegister32[[#This Row],[Asset Class]],tblVCDBIndex[],4,FALSE),"")</f>
        <v>3</v>
      </c>
      <c r="J89" s="24">
        <f>IFERROR(VLOOKUP(10*tblRiskRegister32[[#This Row],[Safeguard Maturity Score]]+tblRiskRegister32[[#This Row],[VCDB Index]],tblHITIndexWeightTable[],4,FALSE),"")</f>
        <v>5</v>
      </c>
      <c r="K89" s="24">
        <f>VLOOKUP(tblRiskRegister32[[#This Row],[Asset Class]],tblInherentImpacts30[],2,FALSE)</f>
        <v>4</v>
      </c>
      <c r="L89" s="24">
        <f>VLOOKUP(tblRiskRegister32[[#This Row],[Asset Class]],tblInherentImpacts30[],3,FALSE)</f>
        <v>4</v>
      </c>
      <c r="M89" s="24">
        <f>VLOOKUP(tblRiskRegister32[[#This Row],[Asset Class]],tblInherentImpacts30[],4,FALSE)</f>
        <v>1</v>
      </c>
      <c r="N89" s="24">
        <f>VLOOKUP(tblRiskRegister32[[#This Row],[Asset Class]],tblInherentImpacts30[],5,FALSE)</f>
        <v>4</v>
      </c>
      <c r="O89" s="24">
        <f>IFERROR(MAX(tblRiskRegister32[[#This Row],[Impact to Mission]:[Impact to Obligations]])*tblRiskRegister32[[#This Row],[Expectancy Score]],"")</f>
        <v>20</v>
      </c>
      <c r="P89" s="24">
        <f>tblRiskRegister32[[#This Row],[Risk Score]]</f>
        <v>20</v>
      </c>
      <c r="Q89" s="50" t="s">
        <v>448</v>
      </c>
      <c r="R89" s="50">
        <v>11.2</v>
      </c>
      <c r="S89" s="15" t="s">
        <v>74</v>
      </c>
      <c r="T89" s="15" t="s">
        <v>362</v>
      </c>
      <c r="U89" s="15"/>
      <c r="V89" s="16"/>
      <c r="W89" s="23" t="str">
        <f>IFERROR(VLOOKUP(10*tblRiskRegister32[[#This Row],[Risk Treatment Safeguard Maturity Score]]+tblRiskRegister32[[#This Row],[VCDB Index]],tblHITIndexWeightTable[],4,FALSE),"")</f>
        <v/>
      </c>
      <c r="X89" s="23">
        <f>VLOOKUP(tblRiskRegister32[[#This Row],[Asset Class]],tblInherentImpacts30[],2,FALSE)</f>
        <v>4</v>
      </c>
      <c r="Y89" s="23">
        <f>VLOOKUP(tblRiskRegister32[[#This Row],[Asset Class]],tblInherentImpacts30[],3,FALSE)</f>
        <v>4</v>
      </c>
      <c r="Z89" s="23">
        <f>VLOOKUP(tblRiskRegister32[[#This Row],[Asset Class]],tblInherentImpacts30[],3,FALSE)</f>
        <v>4</v>
      </c>
      <c r="AA89" s="23">
        <f>VLOOKUP(tblRiskRegister32[[#This Row],[Asset Class]],tblInherentImpacts30[],4,FALSE)</f>
        <v>1</v>
      </c>
      <c r="AB89" s="23" t="str">
        <f>IFERROR(MAX(tblRiskRegister32[[#This Row],[Risk Treatment Safeguard Impact to Mission]:[Risk Treatment Safeguard Impact to Obligations]])*tblRiskRegister32[[#This Row],[Risk Treatment
Safeguard Expectancy Score]],"")</f>
        <v/>
      </c>
      <c r="AC89" s="23" t="str">
        <f>IF(tblRiskRegister32[[#This Row],[Risk Score]]&gt;AcceptableRisk,IF(tblRiskRegister32[[#This Row],[Risk Treatment Safeguard Risk Score]]&lt;AcceptableRisk, IF(tblRiskRegister32[[#This Row],[Risk Treatment Safeguard Risk Score]]&lt;=tblRiskRegister32[[#This Row],[Risk Score]],"Yes","No"),"No"),"Yes")</f>
        <v>No</v>
      </c>
      <c r="AD89" s="17"/>
      <c r="AE89" s="17"/>
      <c r="AF89" s="18"/>
    </row>
    <row r="90" spans="2:32" ht="28" hidden="1">
      <c r="B90" s="15" t="s">
        <v>90</v>
      </c>
      <c r="C90" s="50"/>
      <c r="D90" s="50">
        <v>11.3</v>
      </c>
      <c r="E90" s="14" t="s">
        <v>75</v>
      </c>
      <c r="F90" s="15"/>
      <c r="G90" s="15"/>
      <c r="H90" s="16"/>
      <c r="I90" s="24">
        <f>IFERROR(VLOOKUP(tblRiskRegister32[[#This Row],[Asset Class]],tblVCDBIndex[],4,FALSE),"")</f>
        <v>3</v>
      </c>
      <c r="J90" s="24" t="str">
        <f>IFERROR(VLOOKUP(10*tblRiskRegister32[[#This Row],[Safeguard Maturity Score]]+tblRiskRegister32[[#This Row],[VCDB Index]],tblHITIndexWeightTable[],4,FALSE),"")</f>
        <v/>
      </c>
      <c r="K90" s="24">
        <f>VLOOKUP(tblRiskRegister32[[#This Row],[Asset Class]],tblInherentImpacts30[],2,FALSE)</f>
        <v>4</v>
      </c>
      <c r="L90" s="24">
        <f>VLOOKUP(tblRiskRegister32[[#This Row],[Asset Class]],tblInherentImpacts30[],3,FALSE)</f>
        <v>4</v>
      </c>
      <c r="M90" s="24">
        <f>VLOOKUP(tblRiskRegister32[[#This Row],[Asset Class]],tblInherentImpacts30[],4,FALSE)</f>
        <v>1</v>
      </c>
      <c r="N90" s="24">
        <f>VLOOKUP(tblRiskRegister32[[#This Row],[Asset Class]],tblInherentImpacts30[],5,FALSE)</f>
        <v>4</v>
      </c>
      <c r="O90" s="24" t="str">
        <f>IFERROR(MAX(tblRiskRegister32[[#This Row],[Impact to Mission]:[Impact to Obligations]])*tblRiskRegister32[[#This Row],[Expectancy Score]],"")</f>
        <v/>
      </c>
      <c r="P90" s="24" t="str">
        <f>tblRiskRegister32[[#This Row],[Risk Score]]</f>
        <v/>
      </c>
      <c r="Q90" s="50"/>
      <c r="R90" s="50">
        <v>11.3</v>
      </c>
      <c r="S90" s="15" t="s">
        <v>75</v>
      </c>
      <c r="T90" s="15" t="s">
        <v>363</v>
      </c>
      <c r="U90" s="15"/>
      <c r="V90" s="16"/>
      <c r="W90" s="23" t="str">
        <f>IFERROR(VLOOKUP(10*tblRiskRegister32[[#This Row],[Risk Treatment Safeguard Maturity Score]]+tblRiskRegister32[[#This Row],[VCDB Index]],tblHITIndexWeightTable[],4,FALSE),"")</f>
        <v/>
      </c>
      <c r="X90" s="23">
        <f>VLOOKUP(tblRiskRegister32[[#This Row],[Asset Class]],tblInherentImpacts30[],2,FALSE)</f>
        <v>4</v>
      </c>
      <c r="Y90" s="23">
        <f>VLOOKUP(tblRiskRegister32[[#This Row],[Asset Class]],tblInherentImpacts30[],3,FALSE)</f>
        <v>4</v>
      </c>
      <c r="Z90" s="23">
        <f>VLOOKUP(tblRiskRegister32[[#This Row],[Asset Class]],tblInherentImpacts30[],3,FALSE)</f>
        <v>4</v>
      </c>
      <c r="AA90" s="23">
        <f>VLOOKUP(tblRiskRegister32[[#This Row],[Asset Class]],tblInherentImpacts30[],4,FALSE)</f>
        <v>1</v>
      </c>
      <c r="AB90" s="23" t="str">
        <f>IFERROR(MAX(tblRiskRegister32[[#This Row],[Risk Treatment Safeguard Impact to Mission]:[Risk Treatment Safeguard Impact to Obligations]])*tblRiskRegister32[[#This Row],[Risk Treatment
Safeguard Expectancy Score]],"")</f>
        <v/>
      </c>
      <c r="AC90" s="23" t="str">
        <f>IF(tblRiskRegister32[[#This Row],[Risk Score]]&gt;AcceptableRisk,IF(tblRiskRegister32[[#This Row],[Risk Treatment Safeguard Risk Score]]&lt;AcceptableRisk, IF(tblRiskRegister32[[#This Row],[Risk Treatment Safeguard Risk Score]]&lt;=tblRiskRegister32[[#This Row],[Risk Score]],"Yes","No"),"No"),"Yes")</f>
        <v>No</v>
      </c>
      <c r="AD90" s="17"/>
      <c r="AE90" s="17"/>
      <c r="AF90" s="18"/>
    </row>
    <row r="91" spans="2:32" ht="42" hidden="1">
      <c r="B91" s="15" t="s">
        <v>90</v>
      </c>
      <c r="C91" s="50"/>
      <c r="D91" s="50">
        <v>11.4</v>
      </c>
      <c r="E91" s="14" t="s">
        <v>76</v>
      </c>
      <c r="F91" s="15"/>
      <c r="G91" s="15"/>
      <c r="H91" s="16"/>
      <c r="I91" s="24">
        <f>IFERROR(VLOOKUP(tblRiskRegister32[[#This Row],[Asset Class]],tblVCDBIndex[],4,FALSE),"")</f>
        <v>3</v>
      </c>
      <c r="J91" s="24" t="str">
        <f>IFERROR(VLOOKUP(10*tblRiskRegister32[[#This Row],[Safeguard Maturity Score]]+tblRiskRegister32[[#This Row],[VCDB Index]],tblHITIndexWeightTable[],4,FALSE),"")</f>
        <v/>
      </c>
      <c r="K91" s="24">
        <f>VLOOKUP(tblRiskRegister32[[#This Row],[Asset Class]],tblInherentImpacts30[],2,FALSE)</f>
        <v>4</v>
      </c>
      <c r="L91" s="24">
        <f>VLOOKUP(tblRiskRegister32[[#This Row],[Asset Class]],tblInherentImpacts30[],3,FALSE)</f>
        <v>4</v>
      </c>
      <c r="M91" s="24">
        <f>VLOOKUP(tblRiskRegister32[[#This Row],[Asset Class]],tblInherentImpacts30[],4,FALSE)</f>
        <v>1</v>
      </c>
      <c r="N91" s="24">
        <f>VLOOKUP(tblRiskRegister32[[#This Row],[Asset Class]],tblInherentImpacts30[],5,FALSE)</f>
        <v>4</v>
      </c>
      <c r="O91" s="24" t="str">
        <f>IFERROR(MAX(tblRiskRegister32[[#This Row],[Impact to Mission]:[Impact to Obligations]])*tblRiskRegister32[[#This Row],[Expectancy Score]],"")</f>
        <v/>
      </c>
      <c r="P91" s="24" t="str">
        <f>tblRiskRegister32[[#This Row],[Risk Score]]</f>
        <v/>
      </c>
      <c r="Q91" s="50"/>
      <c r="R91" s="50">
        <v>11.4</v>
      </c>
      <c r="S91" s="15" t="s">
        <v>76</v>
      </c>
      <c r="T91" s="15" t="s">
        <v>364</v>
      </c>
      <c r="U91" s="15"/>
      <c r="V91" s="16"/>
      <c r="W91" s="23" t="str">
        <f>IFERROR(VLOOKUP(10*tblRiskRegister32[[#This Row],[Risk Treatment Safeguard Maturity Score]]+tblRiskRegister32[[#This Row],[VCDB Index]],tblHITIndexWeightTable[],4,FALSE),"")</f>
        <v/>
      </c>
      <c r="X91" s="23">
        <f>VLOOKUP(tblRiskRegister32[[#This Row],[Asset Class]],tblInherentImpacts30[],2,FALSE)</f>
        <v>4</v>
      </c>
      <c r="Y91" s="23">
        <f>VLOOKUP(tblRiskRegister32[[#This Row],[Asset Class]],tblInherentImpacts30[],3,FALSE)</f>
        <v>4</v>
      </c>
      <c r="Z91" s="23">
        <f>VLOOKUP(tblRiskRegister32[[#This Row],[Asset Class]],tblInherentImpacts30[],3,FALSE)</f>
        <v>4</v>
      </c>
      <c r="AA91" s="23">
        <f>VLOOKUP(tblRiskRegister32[[#This Row],[Asset Class]],tblInherentImpacts30[],4,FALSE)</f>
        <v>1</v>
      </c>
      <c r="AB91" s="23" t="str">
        <f>IFERROR(MAX(tblRiskRegister32[[#This Row],[Risk Treatment Safeguard Impact to Mission]:[Risk Treatment Safeguard Impact to Obligations]])*tblRiskRegister32[[#This Row],[Risk Treatment
Safeguard Expectancy Score]],"")</f>
        <v/>
      </c>
      <c r="AC91" s="23" t="str">
        <f>IF(tblRiskRegister32[[#This Row],[Risk Score]]&gt;AcceptableRisk,IF(tblRiskRegister32[[#This Row],[Risk Treatment Safeguard Risk Score]]&lt;AcceptableRisk, IF(tblRiskRegister32[[#This Row],[Risk Treatment Safeguard Risk Score]]&lt;=tblRiskRegister32[[#This Row],[Risk Score]],"Yes","No"),"No"),"Yes")</f>
        <v>No</v>
      </c>
      <c r="AD91" s="17"/>
      <c r="AE91" s="17"/>
      <c r="AF91" s="18"/>
    </row>
    <row r="92" spans="2:32" ht="28" hidden="1">
      <c r="B92" s="15" t="s">
        <v>90</v>
      </c>
      <c r="C92" s="50"/>
      <c r="D92" s="50">
        <v>11.5</v>
      </c>
      <c r="E92" s="14" t="s">
        <v>182</v>
      </c>
      <c r="F92" s="15"/>
      <c r="G92" s="15"/>
      <c r="H92" s="16"/>
      <c r="I92" s="24">
        <f>IFERROR(VLOOKUP(tblRiskRegister32[[#This Row],[Asset Class]],tblVCDBIndex[],4,FALSE),"")</f>
        <v>3</v>
      </c>
      <c r="J92" s="24" t="str">
        <f>IFERROR(VLOOKUP(10*tblRiskRegister32[[#This Row],[Safeguard Maturity Score]]+tblRiskRegister32[[#This Row],[VCDB Index]],tblHITIndexWeightTable[],4,FALSE),"")</f>
        <v/>
      </c>
      <c r="K92" s="24">
        <f>VLOOKUP(tblRiskRegister32[[#This Row],[Asset Class]],tblInherentImpacts30[],2,FALSE)</f>
        <v>4</v>
      </c>
      <c r="L92" s="24">
        <f>VLOOKUP(tblRiskRegister32[[#This Row],[Asset Class]],tblInherentImpacts30[],3,FALSE)</f>
        <v>4</v>
      </c>
      <c r="M92" s="24">
        <f>VLOOKUP(tblRiskRegister32[[#This Row],[Asset Class]],tblInherentImpacts30[],4,FALSE)</f>
        <v>1</v>
      </c>
      <c r="N92" s="24">
        <f>VLOOKUP(tblRiskRegister32[[#This Row],[Asset Class]],tblInherentImpacts30[],5,FALSE)</f>
        <v>4</v>
      </c>
      <c r="O92" s="24" t="str">
        <f>IFERROR(MAX(tblRiskRegister32[[#This Row],[Impact to Mission]:[Impact to Obligations]])*tblRiskRegister32[[#This Row],[Expectancy Score]],"")</f>
        <v/>
      </c>
      <c r="P92" s="24" t="str">
        <f>tblRiskRegister32[[#This Row],[Risk Score]]</f>
        <v/>
      </c>
      <c r="Q92" s="50"/>
      <c r="R92" s="50">
        <v>11.5</v>
      </c>
      <c r="S92" s="15" t="s">
        <v>182</v>
      </c>
      <c r="T92" s="15" t="s">
        <v>365</v>
      </c>
      <c r="U92" s="15"/>
      <c r="V92" s="16"/>
      <c r="W92" s="23" t="str">
        <f>IFERROR(VLOOKUP(10*tblRiskRegister32[[#This Row],[Risk Treatment Safeguard Maturity Score]]+tblRiskRegister32[[#This Row],[VCDB Index]],tblHITIndexWeightTable[],4,FALSE),"")</f>
        <v/>
      </c>
      <c r="X92" s="23">
        <f>VLOOKUP(tblRiskRegister32[[#This Row],[Asset Class]],tblInherentImpacts30[],2,FALSE)</f>
        <v>4</v>
      </c>
      <c r="Y92" s="23">
        <f>VLOOKUP(tblRiskRegister32[[#This Row],[Asset Class]],tblInherentImpacts30[],3,FALSE)</f>
        <v>4</v>
      </c>
      <c r="Z92" s="23">
        <f>VLOOKUP(tblRiskRegister32[[#This Row],[Asset Class]],tblInherentImpacts30[],3,FALSE)</f>
        <v>4</v>
      </c>
      <c r="AA92" s="23">
        <f>VLOOKUP(tblRiskRegister32[[#This Row],[Asset Class]],tblInherentImpacts30[],4,FALSE)</f>
        <v>1</v>
      </c>
      <c r="AB92" s="23" t="str">
        <f>IFERROR(MAX(tblRiskRegister32[[#This Row],[Risk Treatment Safeguard Impact to Mission]:[Risk Treatment Safeguard Impact to Obligations]])*tblRiskRegister32[[#This Row],[Risk Treatment
Safeguard Expectancy Score]],"")</f>
        <v/>
      </c>
      <c r="AC92" s="23" t="str">
        <f>IF(tblRiskRegister32[[#This Row],[Risk Score]]&gt;AcceptableRisk,IF(tblRiskRegister32[[#This Row],[Risk Treatment Safeguard Risk Score]]&lt;AcceptableRisk, IF(tblRiskRegister32[[#This Row],[Risk Treatment Safeguard Risk Score]]&lt;=tblRiskRegister32[[#This Row],[Risk Score]],"Yes","No"),"No"),"Yes")</f>
        <v>No</v>
      </c>
      <c r="AD92" s="17"/>
      <c r="AE92" s="17"/>
      <c r="AF92" s="18"/>
    </row>
    <row r="93" spans="2:32" ht="56" hidden="1">
      <c r="B93" s="15" t="s">
        <v>93</v>
      </c>
      <c r="C93" s="50"/>
      <c r="D93" s="50">
        <v>12.1</v>
      </c>
      <c r="E93" s="14" t="s">
        <v>77</v>
      </c>
      <c r="F93" s="15"/>
      <c r="G93" s="15"/>
      <c r="H93" s="16"/>
      <c r="I93" s="24">
        <f>IFERROR(VLOOKUP(tblRiskRegister32[[#This Row],[Asset Class]],tblVCDBIndex[],4,FALSE),"")</f>
        <v>1</v>
      </c>
      <c r="J93" s="24" t="str">
        <f>IFERROR(VLOOKUP(10*tblRiskRegister32[[#This Row],[Safeguard Maturity Score]]+tblRiskRegister32[[#This Row],[VCDB Index]],tblHITIndexWeightTable[],4,FALSE),"")</f>
        <v/>
      </c>
      <c r="K93" s="24">
        <f>VLOOKUP(tblRiskRegister32[[#This Row],[Asset Class]],tblInherentImpacts30[],2,FALSE)</f>
        <v>4</v>
      </c>
      <c r="L93" s="24">
        <f>VLOOKUP(tblRiskRegister32[[#This Row],[Asset Class]],tblInherentImpacts30[],3,FALSE)</f>
        <v>5</v>
      </c>
      <c r="M93" s="24">
        <f>VLOOKUP(tblRiskRegister32[[#This Row],[Asset Class]],tblInherentImpacts30[],4,FALSE)</f>
        <v>1</v>
      </c>
      <c r="N93" s="24">
        <f>VLOOKUP(tblRiskRegister32[[#This Row],[Asset Class]],tblInherentImpacts30[],5,FALSE)</f>
        <v>5</v>
      </c>
      <c r="O93" s="24" t="str">
        <f>IFERROR(MAX(tblRiskRegister32[[#This Row],[Impact to Mission]:[Impact to Obligations]])*tblRiskRegister32[[#This Row],[Expectancy Score]],"")</f>
        <v/>
      </c>
      <c r="P93" s="24" t="str">
        <f>tblRiskRegister32[[#This Row],[Risk Score]]</f>
        <v/>
      </c>
      <c r="Q93" s="50"/>
      <c r="R93" s="50">
        <v>12.1</v>
      </c>
      <c r="S93" s="15" t="s">
        <v>77</v>
      </c>
      <c r="T93" s="15" t="s">
        <v>366</v>
      </c>
      <c r="U93" s="26"/>
      <c r="V93" s="16"/>
      <c r="W93" s="23" t="str">
        <f>IFERROR(VLOOKUP(10*tblRiskRegister32[[#This Row],[Risk Treatment Safeguard Maturity Score]]+tblRiskRegister32[[#This Row],[VCDB Index]],tblHITIndexWeightTable[],4,FALSE),"")</f>
        <v/>
      </c>
      <c r="X93" s="23">
        <f>VLOOKUP(tblRiskRegister32[[#This Row],[Asset Class]],tblInherentImpacts30[],2,FALSE)</f>
        <v>4</v>
      </c>
      <c r="Y93" s="23">
        <f>VLOOKUP(tblRiskRegister32[[#This Row],[Asset Class]],tblInherentImpacts30[],3,FALSE)</f>
        <v>5</v>
      </c>
      <c r="Z93" s="23">
        <f>VLOOKUP(tblRiskRegister32[[#This Row],[Asset Class]],tblInherentImpacts30[],3,FALSE)</f>
        <v>5</v>
      </c>
      <c r="AA93" s="23">
        <f>VLOOKUP(tblRiskRegister32[[#This Row],[Asset Class]],tblInherentImpacts30[],4,FALSE)</f>
        <v>1</v>
      </c>
      <c r="AB93" s="23" t="str">
        <f>IFERROR(MAX(tblRiskRegister32[[#This Row],[Risk Treatment Safeguard Impact to Mission]:[Risk Treatment Safeguard Impact to Obligations]])*tblRiskRegister32[[#This Row],[Risk Treatment
Safeguard Expectancy Score]],"")</f>
        <v/>
      </c>
      <c r="AC93" s="23" t="str">
        <f>IF(tblRiskRegister32[[#This Row],[Risk Score]]&gt;AcceptableRisk,IF(tblRiskRegister32[[#This Row],[Risk Treatment Safeguard Risk Score]]&lt;AcceptableRisk, IF(tblRiskRegister32[[#This Row],[Risk Treatment Safeguard Risk Score]]&lt;=tblRiskRegister32[[#This Row],[Risk Score]],"Yes","No"),"No"),"Yes")</f>
        <v>No</v>
      </c>
      <c r="AD93" s="17"/>
      <c r="AE93" s="17"/>
      <c r="AF93" s="18"/>
    </row>
    <row r="94" spans="2:32" ht="28" hidden="1">
      <c r="B94" s="15" t="s">
        <v>93</v>
      </c>
      <c r="C94" s="50"/>
      <c r="D94" s="50">
        <v>12.2</v>
      </c>
      <c r="E94" s="14" t="s">
        <v>218</v>
      </c>
      <c r="F94" s="15"/>
      <c r="G94" s="15"/>
      <c r="H94" s="16"/>
      <c r="I94" s="24">
        <f>IFERROR(VLOOKUP(tblRiskRegister32[[#This Row],[Asset Class]],tblVCDBIndex[],4,FALSE),"")</f>
        <v>1</v>
      </c>
      <c r="J94" s="24" t="str">
        <f>IFERROR(VLOOKUP(10*tblRiskRegister32[[#This Row],[Safeguard Maturity Score]]+tblRiskRegister32[[#This Row],[VCDB Index]],tblHITIndexWeightTable[],4,FALSE),"")</f>
        <v/>
      </c>
      <c r="K94" s="24">
        <f>VLOOKUP(tblRiskRegister32[[#This Row],[Asset Class]],tblInherentImpacts30[],2,FALSE)</f>
        <v>4</v>
      </c>
      <c r="L94" s="24">
        <f>VLOOKUP(tblRiskRegister32[[#This Row],[Asset Class]],tblInherentImpacts30[],3,FALSE)</f>
        <v>5</v>
      </c>
      <c r="M94" s="24">
        <f>VLOOKUP(tblRiskRegister32[[#This Row],[Asset Class]],tblInherentImpacts30[],4,FALSE)</f>
        <v>1</v>
      </c>
      <c r="N94" s="24">
        <f>VLOOKUP(tblRiskRegister32[[#This Row],[Asset Class]],tblInherentImpacts30[],5,FALSE)</f>
        <v>5</v>
      </c>
      <c r="O94" s="24" t="str">
        <f>IFERROR(MAX(tblRiskRegister32[[#This Row],[Impact to Mission]:[Impact to Obligations]])*tblRiskRegister32[[#This Row],[Expectancy Score]],"")</f>
        <v/>
      </c>
      <c r="P94" s="24" t="str">
        <f>tblRiskRegister32[[#This Row],[Risk Score]]</f>
        <v/>
      </c>
      <c r="Q94" s="50"/>
      <c r="R94" s="50">
        <v>12.2</v>
      </c>
      <c r="S94" s="15" t="s">
        <v>218</v>
      </c>
      <c r="T94" s="15" t="s">
        <v>367</v>
      </c>
      <c r="U94" s="26"/>
      <c r="V94" s="16"/>
      <c r="W94" s="23" t="str">
        <f>IFERROR(VLOOKUP(10*tblRiskRegister32[[#This Row],[Risk Treatment Safeguard Maturity Score]]+tblRiskRegister32[[#This Row],[VCDB Index]],tblHITIndexWeightTable[],4,FALSE),"")</f>
        <v/>
      </c>
      <c r="X94" s="23">
        <f>VLOOKUP(tblRiskRegister32[[#This Row],[Asset Class]],tblInherentImpacts30[],2,FALSE)</f>
        <v>4</v>
      </c>
      <c r="Y94" s="23">
        <f>VLOOKUP(tblRiskRegister32[[#This Row],[Asset Class]],tblInherentImpacts30[],3,FALSE)</f>
        <v>5</v>
      </c>
      <c r="Z94" s="23">
        <f>VLOOKUP(tblRiskRegister32[[#This Row],[Asset Class]],tblInherentImpacts30[],3,FALSE)</f>
        <v>5</v>
      </c>
      <c r="AA94" s="23">
        <f>VLOOKUP(tblRiskRegister32[[#This Row],[Asset Class]],tblInherentImpacts30[],4,FALSE)</f>
        <v>1</v>
      </c>
      <c r="AB94" s="23" t="str">
        <f>IFERROR(MAX(tblRiskRegister32[[#This Row],[Risk Treatment Safeguard Impact to Mission]:[Risk Treatment Safeguard Impact to Obligations]])*tblRiskRegister32[[#This Row],[Risk Treatment
Safeguard Expectancy Score]],"")</f>
        <v/>
      </c>
      <c r="AC94" s="23" t="str">
        <f>IF(tblRiskRegister32[[#This Row],[Risk Score]]&gt;AcceptableRisk,IF(tblRiskRegister32[[#This Row],[Risk Treatment Safeguard Risk Score]]&lt;AcceptableRisk, IF(tblRiskRegister32[[#This Row],[Risk Treatment Safeguard Risk Score]]&lt;=tblRiskRegister32[[#This Row],[Risk Score]],"Yes","No"),"No"),"Yes")</f>
        <v>No</v>
      </c>
      <c r="AD94" s="17"/>
      <c r="AE94" s="17"/>
      <c r="AF94" s="18"/>
    </row>
    <row r="95" spans="2:32" ht="42" hidden="1">
      <c r="B95" s="15" t="s">
        <v>93</v>
      </c>
      <c r="C95" s="50"/>
      <c r="D95" s="50">
        <v>12.3</v>
      </c>
      <c r="E95" s="14" t="s">
        <v>219</v>
      </c>
      <c r="F95" s="15"/>
      <c r="G95" s="15"/>
      <c r="H95" s="16"/>
      <c r="I95" s="24">
        <f>IFERROR(VLOOKUP(tblRiskRegister32[[#This Row],[Asset Class]],tblVCDBIndex[],4,FALSE),"")</f>
        <v>1</v>
      </c>
      <c r="J95" s="24" t="str">
        <f>IFERROR(VLOOKUP(10*tblRiskRegister32[[#This Row],[Safeguard Maturity Score]]+tblRiskRegister32[[#This Row],[VCDB Index]],tblHITIndexWeightTable[],4,FALSE),"")</f>
        <v/>
      </c>
      <c r="K95" s="24">
        <f>VLOOKUP(tblRiskRegister32[[#This Row],[Asset Class]],tblInherentImpacts30[],2,FALSE)</f>
        <v>4</v>
      </c>
      <c r="L95" s="24">
        <f>VLOOKUP(tblRiskRegister32[[#This Row],[Asset Class]],tblInherentImpacts30[],3,FALSE)</f>
        <v>5</v>
      </c>
      <c r="M95" s="24">
        <f>VLOOKUP(tblRiskRegister32[[#This Row],[Asset Class]],tblInherentImpacts30[],4,FALSE)</f>
        <v>1</v>
      </c>
      <c r="N95" s="24">
        <f>VLOOKUP(tblRiskRegister32[[#This Row],[Asset Class]],tblInherentImpacts30[],5,FALSE)</f>
        <v>5</v>
      </c>
      <c r="O95" s="24" t="str">
        <f>IFERROR(MAX(tblRiskRegister32[[#This Row],[Impact to Mission]:[Impact to Obligations]])*tblRiskRegister32[[#This Row],[Expectancy Score]],"")</f>
        <v/>
      </c>
      <c r="P95" s="24" t="str">
        <f>tblRiskRegister32[[#This Row],[Risk Score]]</f>
        <v/>
      </c>
      <c r="Q95" s="50"/>
      <c r="R95" s="50">
        <v>12.3</v>
      </c>
      <c r="S95" s="15" t="s">
        <v>219</v>
      </c>
      <c r="T95" s="15" t="s">
        <v>368</v>
      </c>
      <c r="U95" s="26"/>
      <c r="V95" s="16"/>
      <c r="W95" s="23" t="str">
        <f>IFERROR(VLOOKUP(10*tblRiskRegister32[[#This Row],[Risk Treatment Safeguard Maturity Score]]+tblRiskRegister32[[#This Row],[VCDB Index]],tblHITIndexWeightTable[],4,FALSE),"")</f>
        <v/>
      </c>
      <c r="X95" s="23">
        <f>VLOOKUP(tblRiskRegister32[[#This Row],[Asset Class]],tblInherentImpacts30[],2,FALSE)</f>
        <v>4</v>
      </c>
      <c r="Y95" s="23">
        <f>VLOOKUP(tblRiskRegister32[[#This Row],[Asset Class]],tblInherentImpacts30[],3,FALSE)</f>
        <v>5</v>
      </c>
      <c r="Z95" s="23">
        <f>VLOOKUP(tblRiskRegister32[[#This Row],[Asset Class]],tblInherentImpacts30[],3,FALSE)</f>
        <v>5</v>
      </c>
      <c r="AA95" s="23">
        <f>VLOOKUP(tblRiskRegister32[[#This Row],[Asset Class]],tblInherentImpacts30[],4,FALSE)</f>
        <v>1</v>
      </c>
      <c r="AB95" s="23" t="str">
        <f>IFERROR(MAX(tblRiskRegister32[[#This Row],[Risk Treatment Safeguard Impact to Mission]:[Risk Treatment Safeguard Impact to Obligations]])*tblRiskRegister32[[#This Row],[Risk Treatment
Safeguard Expectancy Score]],"")</f>
        <v/>
      </c>
      <c r="AC95" s="23" t="str">
        <f>IF(tblRiskRegister32[[#This Row],[Risk Score]]&gt;AcceptableRisk,IF(tblRiskRegister32[[#This Row],[Risk Treatment Safeguard Risk Score]]&lt;AcceptableRisk, IF(tblRiskRegister32[[#This Row],[Risk Treatment Safeguard Risk Score]]&lt;=tblRiskRegister32[[#This Row],[Risk Score]],"Yes","No"),"No"),"Yes")</f>
        <v>No</v>
      </c>
      <c r="AD95" s="17"/>
      <c r="AE95" s="17"/>
      <c r="AF95" s="18"/>
    </row>
    <row r="96" spans="2:32" ht="42" hidden="1">
      <c r="B96" s="15" t="s">
        <v>93</v>
      </c>
      <c r="C96" s="50"/>
      <c r="D96" s="50">
        <v>12.4</v>
      </c>
      <c r="E96" s="14" t="s">
        <v>220</v>
      </c>
      <c r="F96" s="15"/>
      <c r="G96" s="15"/>
      <c r="H96" s="16"/>
      <c r="I96" s="24">
        <f>IFERROR(VLOOKUP(tblRiskRegister32[[#This Row],[Asset Class]],tblVCDBIndex[],4,FALSE),"")</f>
        <v>1</v>
      </c>
      <c r="J96" s="24" t="str">
        <f>IFERROR(VLOOKUP(10*tblRiskRegister32[[#This Row],[Safeguard Maturity Score]]+tblRiskRegister32[[#This Row],[VCDB Index]],tblHITIndexWeightTable[],4,FALSE),"")</f>
        <v/>
      </c>
      <c r="K96" s="24">
        <f>VLOOKUP(tblRiskRegister32[[#This Row],[Asset Class]],tblInherentImpacts30[],2,FALSE)</f>
        <v>4</v>
      </c>
      <c r="L96" s="24">
        <f>VLOOKUP(tblRiskRegister32[[#This Row],[Asset Class]],tblInherentImpacts30[],3,FALSE)</f>
        <v>5</v>
      </c>
      <c r="M96" s="24">
        <f>VLOOKUP(tblRiskRegister32[[#This Row],[Asset Class]],tblInherentImpacts30[],4,FALSE)</f>
        <v>1</v>
      </c>
      <c r="N96" s="24">
        <f>VLOOKUP(tblRiskRegister32[[#This Row],[Asset Class]],tblInherentImpacts30[],5,FALSE)</f>
        <v>5</v>
      </c>
      <c r="O96" s="24" t="str">
        <f>IFERROR(MAX(tblRiskRegister32[[#This Row],[Impact to Mission]:[Impact to Obligations]])*tblRiskRegister32[[#This Row],[Expectancy Score]],"")</f>
        <v/>
      </c>
      <c r="P96" s="24" t="str">
        <f>tblRiskRegister32[[#This Row],[Risk Score]]</f>
        <v/>
      </c>
      <c r="Q96" s="50"/>
      <c r="R96" s="50">
        <v>12.4</v>
      </c>
      <c r="S96" s="15" t="s">
        <v>220</v>
      </c>
      <c r="T96" s="15" t="s">
        <v>369</v>
      </c>
      <c r="U96" s="26"/>
      <c r="V96" s="16"/>
      <c r="W96" s="23" t="str">
        <f>IFERROR(VLOOKUP(10*tblRiskRegister32[[#This Row],[Risk Treatment Safeguard Maturity Score]]+tblRiskRegister32[[#This Row],[VCDB Index]],tblHITIndexWeightTable[],4,FALSE),"")</f>
        <v/>
      </c>
      <c r="X96" s="23">
        <f>VLOOKUP(tblRiskRegister32[[#This Row],[Asset Class]],tblInherentImpacts30[],2,FALSE)</f>
        <v>4</v>
      </c>
      <c r="Y96" s="23">
        <f>VLOOKUP(tblRiskRegister32[[#This Row],[Asset Class]],tblInherentImpacts30[],3,FALSE)</f>
        <v>5</v>
      </c>
      <c r="Z96" s="23">
        <f>VLOOKUP(tblRiskRegister32[[#This Row],[Asset Class]],tblInherentImpacts30[],3,FALSE)</f>
        <v>5</v>
      </c>
      <c r="AA96" s="23">
        <f>VLOOKUP(tblRiskRegister32[[#This Row],[Asset Class]],tblInherentImpacts30[],4,FALSE)</f>
        <v>1</v>
      </c>
      <c r="AB96" s="23" t="str">
        <f>IFERROR(MAX(tblRiskRegister32[[#This Row],[Risk Treatment Safeguard Impact to Mission]:[Risk Treatment Safeguard Impact to Obligations]])*tblRiskRegister32[[#This Row],[Risk Treatment
Safeguard Expectancy Score]],"")</f>
        <v/>
      </c>
      <c r="AC96" s="23" t="str">
        <f>IF(tblRiskRegister32[[#This Row],[Risk Score]]&gt;AcceptableRisk,IF(tblRiskRegister32[[#This Row],[Risk Treatment Safeguard Risk Score]]&lt;AcceptableRisk, IF(tblRiskRegister32[[#This Row],[Risk Treatment Safeguard Risk Score]]&lt;=tblRiskRegister32[[#This Row],[Risk Score]],"Yes","No"),"No"),"Yes")</f>
        <v>No</v>
      </c>
      <c r="AD96" s="17"/>
      <c r="AE96" s="17"/>
      <c r="AF96" s="18"/>
    </row>
    <row r="97" spans="2:32" ht="28" hidden="1">
      <c r="B97" s="15" t="s">
        <v>93</v>
      </c>
      <c r="C97" s="50"/>
      <c r="D97" s="50">
        <v>12.5</v>
      </c>
      <c r="E97" s="14" t="s">
        <v>221</v>
      </c>
      <c r="F97" s="15"/>
      <c r="G97" s="15"/>
      <c r="H97" s="16"/>
      <c r="I97" s="24">
        <f>IFERROR(VLOOKUP(tblRiskRegister32[[#This Row],[Asset Class]],tblVCDBIndex[],4,FALSE),"")</f>
        <v>1</v>
      </c>
      <c r="J97" s="24" t="str">
        <f>IFERROR(VLOOKUP(10*tblRiskRegister32[[#This Row],[Safeguard Maturity Score]]+tblRiskRegister32[[#This Row],[VCDB Index]],tblHITIndexWeightTable[],4,FALSE),"")</f>
        <v/>
      </c>
      <c r="K97" s="24">
        <f>VLOOKUP(tblRiskRegister32[[#This Row],[Asset Class]],tblInherentImpacts30[],2,FALSE)</f>
        <v>4</v>
      </c>
      <c r="L97" s="24">
        <f>VLOOKUP(tblRiskRegister32[[#This Row],[Asset Class]],tblInherentImpacts30[],3,FALSE)</f>
        <v>5</v>
      </c>
      <c r="M97" s="24">
        <f>VLOOKUP(tblRiskRegister32[[#This Row],[Asset Class]],tblInherentImpacts30[],4,FALSE)</f>
        <v>1</v>
      </c>
      <c r="N97" s="24">
        <f>VLOOKUP(tblRiskRegister32[[#This Row],[Asset Class]],tblInherentImpacts30[],5,FALSE)</f>
        <v>5</v>
      </c>
      <c r="O97" s="24" t="str">
        <f>IFERROR(MAX(tblRiskRegister32[[#This Row],[Impact to Mission]:[Impact to Obligations]])*tblRiskRegister32[[#This Row],[Expectancy Score]],"")</f>
        <v/>
      </c>
      <c r="P97" s="24" t="str">
        <f>tblRiskRegister32[[#This Row],[Risk Score]]</f>
        <v/>
      </c>
      <c r="Q97" s="50"/>
      <c r="R97" s="50">
        <v>12.5</v>
      </c>
      <c r="S97" s="15" t="s">
        <v>221</v>
      </c>
      <c r="T97" s="15" t="s">
        <v>370</v>
      </c>
      <c r="U97" s="26"/>
      <c r="V97" s="16"/>
      <c r="W97" s="23" t="str">
        <f>IFERROR(VLOOKUP(10*tblRiskRegister32[[#This Row],[Risk Treatment Safeguard Maturity Score]]+tblRiskRegister32[[#This Row],[VCDB Index]],tblHITIndexWeightTable[],4,FALSE),"")</f>
        <v/>
      </c>
      <c r="X97" s="23">
        <f>VLOOKUP(tblRiskRegister32[[#This Row],[Asset Class]],tblInherentImpacts30[],2,FALSE)</f>
        <v>4</v>
      </c>
      <c r="Y97" s="23">
        <f>VLOOKUP(tblRiskRegister32[[#This Row],[Asset Class]],tblInherentImpacts30[],3,FALSE)</f>
        <v>5</v>
      </c>
      <c r="Z97" s="23">
        <f>VLOOKUP(tblRiskRegister32[[#This Row],[Asset Class]],tblInherentImpacts30[],3,FALSE)</f>
        <v>5</v>
      </c>
      <c r="AA97" s="23">
        <f>VLOOKUP(tblRiskRegister32[[#This Row],[Asset Class]],tblInherentImpacts30[],4,FALSE)</f>
        <v>1</v>
      </c>
      <c r="AB97" s="23" t="str">
        <f>IFERROR(MAX(tblRiskRegister32[[#This Row],[Risk Treatment Safeguard Impact to Mission]:[Risk Treatment Safeguard Impact to Obligations]])*tblRiskRegister32[[#This Row],[Risk Treatment
Safeguard Expectancy Score]],"")</f>
        <v/>
      </c>
      <c r="AC97" s="23" t="str">
        <f>IF(tblRiskRegister32[[#This Row],[Risk Score]]&gt;AcceptableRisk,IF(tblRiskRegister32[[#This Row],[Risk Treatment Safeguard Risk Score]]&lt;AcceptableRisk, IF(tblRiskRegister32[[#This Row],[Risk Treatment Safeguard Risk Score]]&lt;=tblRiskRegister32[[#This Row],[Risk Score]],"Yes","No"),"No"),"Yes")</f>
        <v>No</v>
      </c>
      <c r="AD97" s="17"/>
      <c r="AE97" s="17"/>
      <c r="AF97" s="18"/>
    </row>
    <row r="98" spans="2:32" ht="28" hidden="1">
      <c r="B98" s="15" t="s">
        <v>93</v>
      </c>
      <c r="C98" s="50"/>
      <c r="D98" s="50">
        <v>12.6</v>
      </c>
      <c r="E98" s="14" t="s">
        <v>222</v>
      </c>
      <c r="F98" s="15"/>
      <c r="G98" s="15"/>
      <c r="H98" s="16"/>
      <c r="I98" s="24">
        <f>IFERROR(VLOOKUP(tblRiskRegister32[[#This Row],[Asset Class]],tblVCDBIndex[],4,FALSE),"")</f>
        <v>1</v>
      </c>
      <c r="J98" s="24" t="str">
        <f>IFERROR(VLOOKUP(10*tblRiskRegister32[[#This Row],[Safeguard Maturity Score]]+tblRiskRegister32[[#This Row],[VCDB Index]],tblHITIndexWeightTable[],4,FALSE),"")</f>
        <v/>
      </c>
      <c r="K98" s="24">
        <f>VLOOKUP(tblRiskRegister32[[#This Row],[Asset Class]],tblInherentImpacts30[],2,FALSE)</f>
        <v>4</v>
      </c>
      <c r="L98" s="24">
        <f>VLOOKUP(tblRiskRegister32[[#This Row],[Asset Class]],tblInherentImpacts30[],3,FALSE)</f>
        <v>5</v>
      </c>
      <c r="M98" s="24">
        <f>VLOOKUP(tblRiskRegister32[[#This Row],[Asset Class]],tblInherentImpacts30[],4,FALSE)</f>
        <v>1</v>
      </c>
      <c r="N98" s="24">
        <f>VLOOKUP(tblRiskRegister32[[#This Row],[Asset Class]],tblInherentImpacts30[],5,FALSE)</f>
        <v>5</v>
      </c>
      <c r="O98" s="24" t="str">
        <f>IFERROR(MAX(tblRiskRegister32[[#This Row],[Impact to Mission]:[Impact to Obligations]])*tblRiskRegister32[[#This Row],[Expectancy Score]],"")</f>
        <v/>
      </c>
      <c r="P98" s="24" t="str">
        <f>tblRiskRegister32[[#This Row],[Risk Score]]</f>
        <v/>
      </c>
      <c r="Q98" s="50"/>
      <c r="R98" s="50">
        <v>12.6</v>
      </c>
      <c r="S98" s="15" t="s">
        <v>222</v>
      </c>
      <c r="T98" s="15" t="s">
        <v>371</v>
      </c>
      <c r="U98" s="26"/>
      <c r="V98" s="16"/>
      <c r="W98" s="23" t="str">
        <f>IFERROR(VLOOKUP(10*tblRiskRegister32[[#This Row],[Risk Treatment Safeguard Maturity Score]]+tblRiskRegister32[[#This Row],[VCDB Index]],tblHITIndexWeightTable[],4,FALSE),"")</f>
        <v/>
      </c>
      <c r="X98" s="23">
        <f>VLOOKUP(tblRiskRegister32[[#This Row],[Asset Class]],tblInherentImpacts30[],2,FALSE)</f>
        <v>4</v>
      </c>
      <c r="Y98" s="23">
        <f>VLOOKUP(tblRiskRegister32[[#This Row],[Asset Class]],tblInherentImpacts30[],3,FALSE)</f>
        <v>5</v>
      </c>
      <c r="Z98" s="23">
        <f>VLOOKUP(tblRiskRegister32[[#This Row],[Asset Class]],tblInherentImpacts30[],3,FALSE)</f>
        <v>5</v>
      </c>
      <c r="AA98" s="23">
        <f>VLOOKUP(tblRiskRegister32[[#This Row],[Asset Class]],tblInherentImpacts30[],4,FALSE)</f>
        <v>1</v>
      </c>
      <c r="AB98" s="23" t="str">
        <f>IFERROR(MAX(tblRiskRegister32[[#This Row],[Risk Treatment Safeguard Impact to Mission]:[Risk Treatment Safeguard Impact to Obligations]])*tblRiskRegister32[[#This Row],[Risk Treatment
Safeguard Expectancy Score]],"")</f>
        <v/>
      </c>
      <c r="AC98" s="23" t="str">
        <f>IF(tblRiskRegister32[[#This Row],[Risk Score]]&gt;AcceptableRisk,IF(tblRiskRegister32[[#This Row],[Risk Treatment Safeguard Risk Score]]&lt;AcceptableRisk, IF(tblRiskRegister32[[#This Row],[Risk Treatment Safeguard Risk Score]]&lt;=tblRiskRegister32[[#This Row],[Risk Score]],"Yes","No"),"No"),"Yes")</f>
        <v>No</v>
      </c>
      <c r="AD98" s="17"/>
      <c r="AE98" s="17"/>
      <c r="AF98" s="18"/>
    </row>
    <row r="99" spans="2:32" ht="42" hidden="1">
      <c r="B99" s="15" t="s">
        <v>91</v>
      </c>
      <c r="C99" s="50"/>
      <c r="D99" s="50">
        <v>12.7</v>
      </c>
      <c r="E99" s="14" t="s">
        <v>194</v>
      </c>
      <c r="F99" s="15"/>
      <c r="G99" s="15"/>
      <c r="H99" s="16"/>
      <c r="I99" s="24">
        <f>IFERROR(VLOOKUP(tblRiskRegister32[[#This Row],[Asset Class]],tblVCDBIndex[],4,FALSE),"")</f>
        <v>1</v>
      </c>
      <c r="J99" s="24" t="str">
        <f>IFERROR(VLOOKUP(10*tblRiskRegister32[[#This Row],[Safeguard Maturity Score]]+tblRiskRegister32[[#This Row],[VCDB Index]],tblHITIndexWeightTable[],4,FALSE),"")</f>
        <v/>
      </c>
      <c r="K99" s="24">
        <f>VLOOKUP(tblRiskRegister32[[#This Row],[Asset Class]],tblInherentImpacts30[],2,FALSE)</f>
        <v>3</v>
      </c>
      <c r="L99" s="24">
        <f>VLOOKUP(tblRiskRegister32[[#This Row],[Asset Class]],tblInherentImpacts30[],3,FALSE)</f>
        <v>3</v>
      </c>
      <c r="M99" s="24">
        <f>VLOOKUP(tblRiskRegister32[[#This Row],[Asset Class]],tblInherentImpacts30[],4,FALSE)</f>
        <v>1</v>
      </c>
      <c r="N99" s="24">
        <f>VLOOKUP(tblRiskRegister32[[#This Row],[Asset Class]],tblInherentImpacts30[],5,FALSE)</f>
        <v>3</v>
      </c>
      <c r="O99" s="24" t="str">
        <f>IFERROR(MAX(tblRiskRegister32[[#This Row],[Impact to Mission]:[Impact to Obligations]])*tblRiskRegister32[[#This Row],[Expectancy Score]],"")</f>
        <v/>
      </c>
      <c r="P99" s="24" t="str">
        <f>tblRiskRegister32[[#This Row],[Risk Score]]</f>
        <v/>
      </c>
      <c r="Q99" s="50"/>
      <c r="R99" s="50">
        <v>12.7</v>
      </c>
      <c r="S99" s="15" t="s">
        <v>194</v>
      </c>
      <c r="T99" s="15" t="s">
        <v>372</v>
      </c>
      <c r="U99" s="26"/>
      <c r="V99" s="16"/>
      <c r="W99" s="23" t="str">
        <f>IFERROR(VLOOKUP(10*tblRiskRegister32[[#This Row],[Risk Treatment Safeguard Maturity Score]]+tblRiskRegister32[[#This Row],[VCDB Index]],tblHITIndexWeightTable[],4,FALSE),"")</f>
        <v/>
      </c>
      <c r="X99" s="23">
        <f>VLOOKUP(tblRiskRegister32[[#This Row],[Asset Class]],tblInherentImpacts30[],2,FALSE)</f>
        <v>3</v>
      </c>
      <c r="Y99" s="23">
        <f>VLOOKUP(tblRiskRegister32[[#This Row],[Asset Class]],tblInherentImpacts30[],3,FALSE)</f>
        <v>3</v>
      </c>
      <c r="Z99" s="23">
        <f>VLOOKUP(tblRiskRegister32[[#This Row],[Asset Class]],tblInherentImpacts30[],3,FALSE)</f>
        <v>3</v>
      </c>
      <c r="AA99" s="23">
        <f>VLOOKUP(tblRiskRegister32[[#This Row],[Asset Class]],tblInherentImpacts30[],4,FALSE)</f>
        <v>1</v>
      </c>
      <c r="AB99" s="23" t="str">
        <f>IFERROR(MAX(tblRiskRegister32[[#This Row],[Risk Treatment Safeguard Impact to Mission]:[Risk Treatment Safeguard Impact to Obligations]])*tblRiskRegister32[[#This Row],[Risk Treatment
Safeguard Expectancy Score]],"")</f>
        <v/>
      </c>
      <c r="AC99" s="23" t="str">
        <f>IF(tblRiskRegister32[[#This Row],[Risk Score]]&gt;AcceptableRisk,IF(tblRiskRegister32[[#This Row],[Risk Treatment Safeguard Risk Score]]&lt;AcceptableRisk, IF(tblRiskRegister32[[#This Row],[Risk Treatment Safeguard Risk Score]]&lt;=tblRiskRegister32[[#This Row],[Risk Score]],"Yes","No"),"No"),"Yes")</f>
        <v>No</v>
      </c>
      <c r="AD99" s="17"/>
      <c r="AE99" s="17"/>
      <c r="AF99" s="18"/>
    </row>
    <row r="100" spans="2:32" ht="56" hidden="1">
      <c r="B100" s="15" t="s">
        <v>93</v>
      </c>
      <c r="C100" s="50"/>
      <c r="D100" s="50">
        <v>13.1</v>
      </c>
      <c r="E100" s="14" t="s">
        <v>223</v>
      </c>
      <c r="F100" s="15"/>
      <c r="G100" s="15"/>
      <c r="H100" s="16"/>
      <c r="I100" s="24">
        <f>IFERROR(VLOOKUP(tblRiskRegister32[[#This Row],[Asset Class]],tblVCDBIndex[],4,FALSE),"")</f>
        <v>1</v>
      </c>
      <c r="J100" s="24" t="str">
        <f>IFERROR(VLOOKUP(10*tblRiskRegister32[[#This Row],[Safeguard Maturity Score]]+tblRiskRegister32[[#This Row],[VCDB Index]],tblHITIndexWeightTable[],4,FALSE),"")</f>
        <v/>
      </c>
      <c r="K100" s="24">
        <f>VLOOKUP(tblRiskRegister32[[#This Row],[Asset Class]],tblInherentImpacts30[],2,FALSE)</f>
        <v>4</v>
      </c>
      <c r="L100" s="24">
        <f>VLOOKUP(tblRiskRegister32[[#This Row],[Asset Class]],tblInherentImpacts30[],3,FALSE)</f>
        <v>5</v>
      </c>
      <c r="M100" s="24">
        <f>VLOOKUP(tblRiskRegister32[[#This Row],[Asset Class]],tblInherentImpacts30[],4,FALSE)</f>
        <v>1</v>
      </c>
      <c r="N100" s="24">
        <f>VLOOKUP(tblRiskRegister32[[#This Row],[Asset Class]],tblInherentImpacts30[],5,FALSE)</f>
        <v>5</v>
      </c>
      <c r="O100" s="24" t="str">
        <f>IFERROR(MAX(tblRiskRegister32[[#This Row],[Impact to Mission]:[Impact to Obligations]])*tblRiskRegister32[[#This Row],[Expectancy Score]],"")</f>
        <v/>
      </c>
      <c r="P100" s="24" t="str">
        <f>tblRiskRegister32[[#This Row],[Risk Score]]</f>
        <v/>
      </c>
      <c r="Q100" s="50"/>
      <c r="R100" s="50">
        <v>13.1</v>
      </c>
      <c r="S100" s="15" t="s">
        <v>223</v>
      </c>
      <c r="T100" s="15" t="s">
        <v>373</v>
      </c>
      <c r="U100" s="26"/>
      <c r="V100" s="16"/>
      <c r="W100" s="23" t="str">
        <f>IFERROR(VLOOKUP(10*tblRiskRegister32[[#This Row],[Risk Treatment Safeguard Maturity Score]]+tblRiskRegister32[[#This Row],[VCDB Index]],tblHITIndexWeightTable[],4,FALSE),"")</f>
        <v/>
      </c>
      <c r="X100" s="23">
        <f>VLOOKUP(tblRiskRegister32[[#This Row],[Asset Class]],tblInherentImpacts30[],2,FALSE)</f>
        <v>4</v>
      </c>
      <c r="Y100" s="23">
        <f>VLOOKUP(tblRiskRegister32[[#This Row],[Asset Class]],tblInherentImpacts30[],3,FALSE)</f>
        <v>5</v>
      </c>
      <c r="Z100" s="23">
        <f>VLOOKUP(tblRiskRegister32[[#This Row],[Asset Class]],tblInherentImpacts30[],3,FALSE)</f>
        <v>5</v>
      </c>
      <c r="AA100" s="23">
        <f>VLOOKUP(tblRiskRegister32[[#This Row],[Asset Class]],tblInherentImpacts30[],4,FALSE)</f>
        <v>1</v>
      </c>
      <c r="AB100" s="23" t="str">
        <f>IFERROR(MAX(tblRiskRegister32[[#This Row],[Risk Treatment Safeguard Impact to Mission]:[Risk Treatment Safeguard Impact to Obligations]])*tblRiskRegister32[[#This Row],[Risk Treatment
Safeguard Expectancy Score]],"")</f>
        <v/>
      </c>
      <c r="AC100" s="23" t="str">
        <f>IF(tblRiskRegister32[[#This Row],[Risk Score]]&gt;AcceptableRisk,IF(tblRiskRegister32[[#This Row],[Risk Treatment Safeguard Risk Score]]&lt;AcceptableRisk, IF(tblRiskRegister32[[#This Row],[Risk Treatment Safeguard Risk Score]]&lt;=tblRiskRegister32[[#This Row],[Risk Score]],"Yes","No"),"No"),"Yes")</f>
        <v>No</v>
      </c>
      <c r="AD100" s="17"/>
      <c r="AE100" s="17"/>
      <c r="AF100" s="18"/>
    </row>
    <row r="101" spans="2:32" ht="28" hidden="1">
      <c r="B101" s="15" t="s">
        <v>91</v>
      </c>
      <c r="C101" s="50"/>
      <c r="D101" s="50">
        <v>13.2</v>
      </c>
      <c r="E101" s="14" t="s">
        <v>195</v>
      </c>
      <c r="F101" s="15"/>
      <c r="G101" s="15"/>
      <c r="H101" s="16"/>
      <c r="I101" s="24">
        <f>IFERROR(VLOOKUP(tblRiskRegister32[[#This Row],[Asset Class]],tblVCDBIndex[],4,FALSE),"")</f>
        <v>1</v>
      </c>
      <c r="J101" s="24" t="str">
        <f>IFERROR(VLOOKUP(10*tblRiskRegister32[[#This Row],[Safeguard Maturity Score]]+tblRiskRegister32[[#This Row],[VCDB Index]],tblHITIndexWeightTable[],4,FALSE),"")</f>
        <v/>
      </c>
      <c r="K101" s="24">
        <f>VLOOKUP(tblRiskRegister32[[#This Row],[Asset Class]],tblInherentImpacts30[],2,FALSE)</f>
        <v>3</v>
      </c>
      <c r="L101" s="24">
        <f>VLOOKUP(tblRiskRegister32[[#This Row],[Asset Class]],tblInherentImpacts30[],3,FALSE)</f>
        <v>3</v>
      </c>
      <c r="M101" s="24">
        <f>VLOOKUP(tblRiskRegister32[[#This Row],[Asset Class]],tblInherentImpacts30[],4,FALSE)</f>
        <v>1</v>
      </c>
      <c r="N101" s="24">
        <f>VLOOKUP(tblRiskRegister32[[#This Row],[Asset Class]],tblInherentImpacts30[],5,FALSE)</f>
        <v>3</v>
      </c>
      <c r="O101" s="24" t="str">
        <f>IFERROR(MAX(tblRiskRegister32[[#This Row],[Impact to Mission]:[Impact to Obligations]])*tblRiskRegister32[[#This Row],[Expectancy Score]],"")</f>
        <v/>
      </c>
      <c r="P101" s="24" t="str">
        <f>tblRiskRegister32[[#This Row],[Risk Score]]</f>
        <v/>
      </c>
      <c r="Q101" s="50"/>
      <c r="R101" s="50">
        <v>13.2</v>
      </c>
      <c r="S101" s="15" t="s">
        <v>195</v>
      </c>
      <c r="T101" s="15" t="s">
        <v>374</v>
      </c>
      <c r="U101" s="26"/>
      <c r="V101" s="16"/>
      <c r="W101" s="23" t="str">
        <f>IFERROR(VLOOKUP(10*tblRiskRegister32[[#This Row],[Risk Treatment Safeguard Maturity Score]]+tblRiskRegister32[[#This Row],[VCDB Index]],tblHITIndexWeightTable[],4,FALSE),"")</f>
        <v/>
      </c>
      <c r="X101" s="23">
        <f>VLOOKUP(tblRiskRegister32[[#This Row],[Asset Class]],tblInherentImpacts30[],2,FALSE)</f>
        <v>3</v>
      </c>
      <c r="Y101" s="23">
        <f>VLOOKUP(tblRiskRegister32[[#This Row],[Asset Class]],tblInherentImpacts30[],3,FALSE)</f>
        <v>3</v>
      </c>
      <c r="Z101" s="23">
        <f>VLOOKUP(tblRiskRegister32[[#This Row],[Asset Class]],tblInherentImpacts30[],3,FALSE)</f>
        <v>3</v>
      </c>
      <c r="AA101" s="23">
        <f>VLOOKUP(tblRiskRegister32[[#This Row],[Asset Class]],tblInherentImpacts30[],4,FALSE)</f>
        <v>1</v>
      </c>
      <c r="AB101" s="23" t="str">
        <f>IFERROR(MAX(tblRiskRegister32[[#This Row],[Risk Treatment Safeguard Impact to Mission]:[Risk Treatment Safeguard Impact to Obligations]])*tblRiskRegister32[[#This Row],[Risk Treatment
Safeguard Expectancy Score]],"")</f>
        <v/>
      </c>
      <c r="AC101" s="23" t="str">
        <f>IF(tblRiskRegister32[[#This Row],[Risk Score]]&gt;AcceptableRisk,IF(tblRiskRegister32[[#This Row],[Risk Treatment Safeguard Risk Score]]&lt;AcceptableRisk, IF(tblRiskRegister32[[#This Row],[Risk Treatment Safeguard Risk Score]]&lt;=tblRiskRegister32[[#This Row],[Risk Score]],"Yes","No"),"No"),"Yes")</f>
        <v>No</v>
      </c>
      <c r="AD101" s="17"/>
      <c r="AE101" s="17"/>
      <c r="AF101" s="18"/>
    </row>
    <row r="102" spans="2:32" ht="42" hidden="1">
      <c r="B102" s="15" t="s">
        <v>93</v>
      </c>
      <c r="C102" s="50"/>
      <c r="D102" s="50">
        <v>13.3</v>
      </c>
      <c r="E102" s="14" t="s">
        <v>224</v>
      </c>
      <c r="F102" s="15"/>
      <c r="G102" s="15"/>
      <c r="H102" s="16"/>
      <c r="I102" s="24">
        <f>IFERROR(VLOOKUP(tblRiskRegister32[[#This Row],[Asset Class]],tblVCDBIndex[],4,FALSE),"")</f>
        <v>1</v>
      </c>
      <c r="J102" s="24" t="str">
        <f>IFERROR(VLOOKUP(10*tblRiskRegister32[[#This Row],[Safeguard Maturity Score]]+tblRiskRegister32[[#This Row],[VCDB Index]],tblHITIndexWeightTable[],4,FALSE),"")</f>
        <v/>
      </c>
      <c r="K102" s="24">
        <f>VLOOKUP(tblRiskRegister32[[#This Row],[Asset Class]],tblInherentImpacts30[],2,FALSE)</f>
        <v>4</v>
      </c>
      <c r="L102" s="24">
        <f>VLOOKUP(tblRiskRegister32[[#This Row],[Asset Class]],tblInherentImpacts30[],3,FALSE)</f>
        <v>5</v>
      </c>
      <c r="M102" s="24">
        <f>VLOOKUP(tblRiskRegister32[[#This Row],[Asset Class]],tblInherentImpacts30[],4,FALSE)</f>
        <v>1</v>
      </c>
      <c r="N102" s="24">
        <f>VLOOKUP(tblRiskRegister32[[#This Row],[Asset Class]],tblInherentImpacts30[],5,FALSE)</f>
        <v>5</v>
      </c>
      <c r="O102" s="24" t="str">
        <f>IFERROR(MAX(tblRiskRegister32[[#This Row],[Impact to Mission]:[Impact to Obligations]])*tblRiskRegister32[[#This Row],[Expectancy Score]],"")</f>
        <v/>
      </c>
      <c r="P102" s="24" t="str">
        <f>tblRiskRegister32[[#This Row],[Risk Score]]</f>
        <v/>
      </c>
      <c r="Q102" s="50"/>
      <c r="R102" s="50">
        <v>13.3</v>
      </c>
      <c r="S102" s="15" t="s">
        <v>224</v>
      </c>
      <c r="T102" s="15" t="s">
        <v>375</v>
      </c>
      <c r="U102" s="26"/>
      <c r="V102" s="16"/>
      <c r="W102" s="23" t="str">
        <f>IFERROR(VLOOKUP(10*tblRiskRegister32[[#This Row],[Risk Treatment Safeguard Maturity Score]]+tblRiskRegister32[[#This Row],[VCDB Index]],tblHITIndexWeightTable[],4,FALSE),"")</f>
        <v/>
      </c>
      <c r="X102" s="23">
        <f>VLOOKUP(tblRiskRegister32[[#This Row],[Asset Class]],tblInherentImpacts30[],2,FALSE)</f>
        <v>4</v>
      </c>
      <c r="Y102" s="23">
        <f>VLOOKUP(tblRiskRegister32[[#This Row],[Asset Class]],tblInherentImpacts30[],3,FALSE)</f>
        <v>5</v>
      </c>
      <c r="Z102" s="23">
        <f>VLOOKUP(tblRiskRegister32[[#This Row],[Asset Class]],tblInherentImpacts30[],3,FALSE)</f>
        <v>5</v>
      </c>
      <c r="AA102" s="23">
        <f>VLOOKUP(tblRiskRegister32[[#This Row],[Asset Class]],tblInherentImpacts30[],4,FALSE)</f>
        <v>1</v>
      </c>
      <c r="AB102" s="23" t="str">
        <f>IFERROR(MAX(tblRiskRegister32[[#This Row],[Risk Treatment Safeguard Impact to Mission]:[Risk Treatment Safeguard Impact to Obligations]])*tblRiskRegister32[[#This Row],[Risk Treatment
Safeguard Expectancy Score]],"")</f>
        <v/>
      </c>
      <c r="AC102" s="23" t="str">
        <f>IF(tblRiskRegister32[[#This Row],[Risk Score]]&gt;AcceptableRisk,IF(tblRiskRegister32[[#This Row],[Risk Treatment Safeguard Risk Score]]&lt;AcceptableRisk, IF(tblRiskRegister32[[#This Row],[Risk Treatment Safeguard Risk Score]]&lt;=tblRiskRegister32[[#This Row],[Risk Score]],"Yes","No"),"No"),"Yes")</f>
        <v>No</v>
      </c>
      <c r="AD102" s="17"/>
      <c r="AE102" s="17"/>
      <c r="AF102" s="18"/>
    </row>
    <row r="103" spans="2:32" ht="28" hidden="1">
      <c r="B103" s="15" t="s">
        <v>93</v>
      </c>
      <c r="C103" s="50"/>
      <c r="D103" s="50">
        <v>13.4</v>
      </c>
      <c r="E103" s="14" t="s">
        <v>225</v>
      </c>
      <c r="F103" s="15"/>
      <c r="G103" s="15"/>
      <c r="H103" s="16"/>
      <c r="I103" s="24">
        <f>IFERROR(VLOOKUP(tblRiskRegister32[[#This Row],[Asset Class]],tblVCDBIndex[],4,FALSE),"")</f>
        <v>1</v>
      </c>
      <c r="J103" s="24" t="str">
        <f>IFERROR(VLOOKUP(10*tblRiskRegister32[[#This Row],[Safeguard Maturity Score]]+tblRiskRegister32[[#This Row],[VCDB Index]],tblHITIndexWeightTable[],4,FALSE),"")</f>
        <v/>
      </c>
      <c r="K103" s="24">
        <f>VLOOKUP(tblRiskRegister32[[#This Row],[Asset Class]],tblInherentImpacts30[],2,FALSE)</f>
        <v>4</v>
      </c>
      <c r="L103" s="24">
        <f>VLOOKUP(tblRiskRegister32[[#This Row],[Asset Class]],tblInherentImpacts30[],3,FALSE)</f>
        <v>5</v>
      </c>
      <c r="M103" s="24">
        <f>VLOOKUP(tblRiskRegister32[[#This Row],[Asset Class]],tblInherentImpacts30[],4,FALSE)</f>
        <v>1</v>
      </c>
      <c r="N103" s="24">
        <f>VLOOKUP(tblRiskRegister32[[#This Row],[Asset Class]],tblInherentImpacts30[],5,FALSE)</f>
        <v>5</v>
      </c>
      <c r="O103" s="24" t="str">
        <f>IFERROR(MAX(tblRiskRegister32[[#This Row],[Impact to Mission]:[Impact to Obligations]])*tblRiskRegister32[[#This Row],[Expectancy Score]],"")</f>
        <v/>
      </c>
      <c r="P103" s="24" t="str">
        <f>tblRiskRegister32[[#This Row],[Risk Score]]</f>
        <v/>
      </c>
      <c r="Q103" s="50"/>
      <c r="R103" s="50">
        <v>13.4</v>
      </c>
      <c r="S103" s="15" t="s">
        <v>225</v>
      </c>
      <c r="T103" s="15" t="s">
        <v>376</v>
      </c>
      <c r="U103" s="26"/>
      <c r="V103" s="16"/>
      <c r="W103" s="23" t="str">
        <f>IFERROR(VLOOKUP(10*tblRiskRegister32[[#This Row],[Risk Treatment Safeguard Maturity Score]]+tblRiskRegister32[[#This Row],[VCDB Index]],tblHITIndexWeightTable[],4,FALSE),"")</f>
        <v/>
      </c>
      <c r="X103" s="23">
        <f>VLOOKUP(tblRiskRegister32[[#This Row],[Asset Class]],tblInherentImpacts30[],2,FALSE)</f>
        <v>4</v>
      </c>
      <c r="Y103" s="23">
        <f>VLOOKUP(tblRiskRegister32[[#This Row],[Asset Class]],tblInherentImpacts30[],3,FALSE)</f>
        <v>5</v>
      </c>
      <c r="Z103" s="23">
        <f>VLOOKUP(tblRiskRegister32[[#This Row],[Asset Class]],tblInherentImpacts30[],3,FALSE)</f>
        <v>5</v>
      </c>
      <c r="AA103" s="23">
        <f>VLOOKUP(tblRiskRegister32[[#This Row],[Asset Class]],tblInherentImpacts30[],4,FALSE)</f>
        <v>1</v>
      </c>
      <c r="AB103" s="23" t="str">
        <f>IFERROR(MAX(tblRiskRegister32[[#This Row],[Risk Treatment Safeguard Impact to Mission]:[Risk Treatment Safeguard Impact to Obligations]])*tblRiskRegister32[[#This Row],[Risk Treatment
Safeguard Expectancy Score]],"")</f>
        <v/>
      </c>
      <c r="AC103" s="23" t="str">
        <f>IF(tblRiskRegister32[[#This Row],[Risk Score]]&gt;AcceptableRisk,IF(tblRiskRegister32[[#This Row],[Risk Treatment Safeguard Risk Score]]&lt;AcceptableRisk, IF(tblRiskRegister32[[#This Row],[Risk Treatment Safeguard Risk Score]]&lt;=tblRiskRegister32[[#This Row],[Risk Score]],"Yes","No"),"No"),"Yes")</f>
        <v>No</v>
      </c>
      <c r="AD103" s="17"/>
      <c r="AE103" s="17"/>
      <c r="AF103" s="18"/>
    </row>
    <row r="104" spans="2:32" ht="56" hidden="1">
      <c r="B104" s="15" t="s">
        <v>91</v>
      </c>
      <c r="C104" s="50"/>
      <c r="D104" s="50">
        <v>13.5</v>
      </c>
      <c r="E104" s="14" t="s">
        <v>196</v>
      </c>
      <c r="F104" s="15"/>
      <c r="G104" s="15"/>
      <c r="H104" s="16"/>
      <c r="I104" s="24">
        <f>IFERROR(VLOOKUP(tblRiskRegister32[[#This Row],[Asset Class]],tblVCDBIndex[],4,FALSE),"")</f>
        <v>1</v>
      </c>
      <c r="J104" s="24" t="str">
        <f>IFERROR(VLOOKUP(10*tblRiskRegister32[[#This Row],[Safeguard Maturity Score]]+tblRiskRegister32[[#This Row],[VCDB Index]],tblHITIndexWeightTable[],4,FALSE),"")</f>
        <v/>
      </c>
      <c r="K104" s="24">
        <f>VLOOKUP(tblRiskRegister32[[#This Row],[Asset Class]],tblInherentImpacts30[],2,FALSE)</f>
        <v>3</v>
      </c>
      <c r="L104" s="24">
        <f>VLOOKUP(tblRiskRegister32[[#This Row],[Asset Class]],tblInherentImpacts30[],3,FALSE)</f>
        <v>3</v>
      </c>
      <c r="M104" s="24">
        <f>VLOOKUP(tblRiskRegister32[[#This Row],[Asset Class]],tblInherentImpacts30[],4,FALSE)</f>
        <v>1</v>
      </c>
      <c r="N104" s="24">
        <f>VLOOKUP(tblRiskRegister32[[#This Row],[Asset Class]],tblInherentImpacts30[],5,FALSE)</f>
        <v>3</v>
      </c>
      <c r="O104" s="24" t="str">
        <f>IFERROR(MAX(tblRiskRegister32[[#This Row],[Impact to Mission]:[Impact to Obligations]])*tblRiskRegister32[[#This Row],[Expectancy Score]],"")</f>
        <v/>
      </c>
      <c r="P104" s="24" t="str">
        <f>tblRiskRegister32[[#This Row],[Risk Score]]</f>
        <v/>
      </c>
      <c r="Q104" s="50"/>
      <c r="R104" s="50">
        <v>13.5</v>
      </c>
      <c r="S104" s="15" t="s">
        <v>196</v>
      </c>
      <c r="T104" s="15" t="s">
        <v>377</v>
      </c>
      <c r="U104" s="26"/>
      <c r="V104" s="16"/>
      <c r="W104" s="23" t="str">
        <f>IFERROR(VLOOKUP(10*tblRiskRegister32[[#This Row],[Risk Treatment Safeguard Maturity Score]]+tblRiskRegister32[[#This Row],[VCDB Index]],tblHITIndexWeightTable[],4,FALSE),"")</f>
        <v/>
      </c>
      <c r="X104" s="23">
        <f>VLOOKUP(tblRiskRegister32[[#This Row],[Asset Class]],tblInherentImpacts30[],2,FALSE)</f>
        <v>3</v>
      </c>
      <c r="Y104" s="23">
        <f>VLOOKUP(tblRiskRegister32[[#This Row],[Asset Class]],tblInherentImpacts30[],3,FALSE)</f>
        <v>3</v>
      </c>
      <c r="Z104" s="23">
        <f>VLOOKUP(tblRiskRegister32[[#This Row],[Asset Class]],tblInherentImpacts30[],3,FALSE)</f>
        <v>3</v>
      </c>
      <c r="AA104" s="23">
        <f>VLOOKUP(tblRiskRegister32[[#This Row],[Asset Class]],tblInherentImpacts30[],4,FALSE)</f>
        <v>1</v>
      </c>
      <c r="AB104" s="23" t="str">
        <f>IFERROR(MAX(tblRiskRegister32[[#This Row],[Risk Treatment Safeguard Impact to Mission]:[Risk Treatment Safeguard Impact to Obligations]])*tblRiskRegister32[[#This Row],[Risk Treatment
Safeguard Expectancy Score]],"")</f>
        <v/>
      </c>
      <c r="AC104" s="23" t="str">
        <f>IF(tblRiskRegister32[[#This Row],[Risk Score]]&gt;AcceptableRisk,IF(tblRiskRegister32[[#This Row],[Risk Treatment Safeguard Risk Score]]&lt;AcceptableRisk, IF(tblRiskRegister32[[#This Row],[Risk Treatment Safeguard Risk Score]]&lt;=tblRiskRegister32[[#This Row],[Risk Score]],"Yes","No"),"No"),"Yes")</f>
        <v>No</v>
      </c>
      <c r="AD104" s="17"/>
      <c r="AE104" s="17"/>
      <c r="AF104" s="18"/>
    </row>
    <row r="105" spans="2:32" ht="28" hidden="1">
      <c r="B105" s="15" t="s">
        <v>93</v>
      </c>
      <c r="C105" s="50"/>
      <c r="D105" s="50">
        <v>13.6</v>
      </c>
      <c r="E105" s="14" t="s">
        <v>226</v>
      </c>
      <c r="F105" s="15"/>
      <c r="G105" s="15"/>
      <c r="H105" s="16"/>
      <c r="I105" s="24">
        <f>IFERROR(VLOOKUP(tblRiskRegister32[[#This Row],[Asset Class]],tblVCDBIndex[],4,FALSE),"")</f>
        <v>1</v>
      </c>
      <c r="J105" s="24" t="str">
        <f>IFERROR(VLOOKUP(10*tblRiskRegister32[[#This Row],[Safeguard Maturity Score]]+tblRiskRegister32[[#This Row],[VCDB Index]],tblHITIndexWeightTable[],4,FALSE),"")</f>
        <v/>
      </c>
      <c r="K105" s="24">
        <f>VLOOKUP(tblRiskRegister32[[#This Row],[Asset Class]],tblInherentImpacts30[],2,FALSE)</f>
        <v>4</v>
      </c>
      <c r="L105" s="24">
        <f>VLOOKUP(tblRiskRegister32[[#This Row],[Asset Class]],tblInherentImpacts30[],3,FALSE)</f>
        <v>5</v>
      </c>
      <c r="M105" s="24">
        <f>VLOOKUP(tblRiskRegister32[[#This Row],[Asset Class]],tblInherentImpacts30[],4,FALSE)</f>
        <v>1</v>
      </c>
      <c r="N105" s="24">
        <f>VLOOKUP(tblRiskRegister32[[#This Row],[Asset Class]],tblInherentImpacts30[],5,FALSE)</f>
        <v>5</v>
      </c>
      <c r="O105" s="24" t="str">
        <f>IFERROR(MAX(tblRiskRegister32[[#This Row],[Impact to Mission]:[Impact to Obligations]])*tblRiskRegister32[[#This Row],[Expectancy Score]],"")</f>
        <v/>
      </c>
      <c r="P105" s="24" t="str">
        <f>tblRiskRegister32[[#This Row],[Risk Score]]</f>
        <v/>
      </c>
      <c r="Q105" s="50"/>
      <c r="R105" s="50">
        <v>13.6</v>
      </c>
      <c r="S105" s="15" t="s">
        <v>226</v>
      </c>
      <c r="T105" s="15" t="s">
        <v>378</v>
      </c>
      <c r="U105" s="26"/>
      <c r="V105" s="16"/>
      <c r="W105" s="23" t="str">
        <f>IFERROR(VLOOKUP(10*tblRiskRegister32[[#This Row],[Risk Treatment Safeguard Maturity Score]]+tblRiskRegister32[[#This Row],[VCDB Index]],tblHITIndexWeightTable[],4,FALSE),"")</f>
        <v/>
      </c>
      <c r="X105" s="23">
        <f>VLOOKUP(tblRiskRegister32[[#This Row],[Asset Class]],tblInherentImpacts30[],2,FALSE)</f>
        <v>4</v>
      </c>
      <c r="Y105" s="23">
        <f>VLOOKUP(tblRiskRegister32[[#This Row],[Asset Class]],tblInherentImpacts30[],3,FALSE)</f>
        <v>5</v>
      </c>
      <c r="Z105" s="23">
        <f>VLOOKUP(tblRiskRegister32[[#This Row],[Asset Class]],tblInherentImpacts30[],3,FALSE)</f>
        <v>5</v>
      </c>
      <c r="AA105" s="23">
        <f>VLOOKUP(tblRiskRegister32[[#This Row],[Asset Class]],tblInherentImpacts30[],4,FALSE)</f>
        <v>1</v>
      </c>
      <c r="AB105" s="23" t="str">
        <f>IFERROR(MAX(tblRiskRegister32[[#This Row],[Risk Treatment Safeguard Impact to Mission]:[Risk Treatment Safeguard Impact to Obligations]])*tblRiskRegister32[[#This Row],[Risk Treatment
Safeguard Expectancy Score]],"")</f>
        <v/>
      </c>
      <c r="AC105" s="23" t="str">
        <f>IF(tblRiskRegister32[[#This Row],[Risk Score]]&gt;AcceptableRisk,IF(tblRiskRegister32[[#This Row],[Risk Treatment Safeguard Risk Score]]&lt;AcceptableRisk, IF(tblRiskRegister32[[#This Row],[Risk Treatment Safeguard Risk Score]]&lt;=tblRiskRegister32[[#This Row],[Risk Score]],"Yes","No"),"No"),"Yes")</f>
        <v>No</v>
      </c>
      <c r="AD105" s="17"/>
      <c r="AE105" s="17"/>
      <c r="AF105" s="18"/>
    </row>
    <row r="106" spans="2:32" ht="70">
      <c r="B106" s="15" t="s">
        <v>95</v>
      </c>
      <c r="C106" s="50" t="s">
        <v>520</v>
      </c>
      <c r="D106" s="50">
        <v>14.1</v>
      </c>
      <c r="E106" s="14" t="s">
        <v>78</v>
      </c>
      <c r="F106" s="15" t="s">
        <v>566</v>
      </c>
      <c r="G106" s="15" t="s">
        <v>575</v>
      </c>
      <c r="H106" s="16">
        <v>5</v>
      </c>
      <c r="I106" s="24">
        <f>IFERROR(VLOOKUP(tblRiskRegister32[[#This Row],[Asset Class]],tblVCDBIndex[],4,FALSE),"")</f>
        <v>3</v>
      </c>
      <c r="J106" s="24">
        <f>IFERROR(VLOOKUP(10*tblRiskRegister32[[#This Row],[Safeguard Maturity Score]]+tblRiskRegister32[[#This Row],[VCDB Index]],tblHITIndexWeightTable[],4,FALSE),"")</f>
        <v>1</v>
      </c>
      <c r="K106" s="24">
        <f>VLOOKUP(tblRiskRegister32[[#This Row],[Asset Class]],tblInherentImpacts30[],2,FALSE)</f>
        <v>5</v>
      </c>
      <c r="L106" s="24">
        <f>VLOOKUP(tblRiskRegister32[[#This Row],[Asset Class]],tblInherentImpacts30[],3,FALSE)</f>
        <v>5</v>
      </c>
      <c r="M106" s="24">
        <f>VLOOKUP(tblRiskRegister32[[#This Row],[Asset Class]],tblInherentImpacts30[],4,FALSE)</f>
        <v>1</v>
      </c>
      <c r="N106" s="24">
        <f>VLOOKUP(tblRiskRegister32[[#This Row],[Asset Class]],tblInherentImpacts30[],5,FALSE)</f>
        <v>5</v>
      </c>
      <c r="O106" s="24">
        <f>IFERROR(MAX(tblRiskRegister32[[#This Row],[Impact to Mission]:[Impact to Obligations]])*tblRiskRegister32[[#This Row],[Expectancy Score]],"")</f>
        <v>5</v>
      </c>
      <c r="P106" s="24">
        <f>tblRiskRegister32[[#This Row],[Risk Score]]</f>
        <v>5</v>
      </c>
      <c r="Q106" s="50" t="s">
        <v>449</v>
      </c>
      <c r="R106" s="50">
        <v>14.1</v>
      </c>
      <c r="S106" s="15" t="s">
        <v>78</v>
      </c>
      <c r="T106" s="15" t="s">
        <v>379</v>
      </c>
      <c r="U106" s="26"/>
      <c r="V106" s="16"/>
      <c r="W106" s="23" t="str">
        <f>IFERROR(VLOOKUP(10*tblRiskRegister32[[#This Row],[Risk Treatment Safeguard Maturity Score]]+tblRiskRegister32[[#This Row],[VCDB Index]],tblHITIndexWeightTable[],4,FALSE),"")</f>
        <v/>
      </c>
      <c r="X106" s="23">
        <f>VLOOKUP(tblRiskRegister32[[#This Row],[Asset Class]],tblInherentImpacts30[],2,FALSE)</f>
        <v>5</v>
      </c>
      <c r="Y106" s="23">
        <f>VLOOKUP(tblRiskRegister32[[#This Row],[Asset Class]],tblInherentImpacts30[],3,FALSE)</f>
        <v>5</v>
      </c>
      <c r="Z106" s="23">
        <f>VLOOKUP(tblRiskRegister32[[#This Row],[Asset Class]],tblInherentImpacts30[],3,FALSE)</f>
        <v>5</v>
      </c>
      <c r="AA106" s="23">
        <f>VLOOKUP(tblRiskRegister32[[#This Row],[Asset Class]],tblInherentImpacts30[],4,FALSE)</f>
        <v>1</v>
      </c>
      <c r="AB106" s="23" t="str">
        <f>IFERROR(MAX(tblRiskRegister32[[#This Row],[Risk Treatment Safeguard Impact to Mission]:[Risk Treatment Safeguard Impact to Obligations]])*tblRiskRegister32[[#This Row],[Risk Treatment
Safeguard Expectancy Score]],"")</f>
        <v/>
      </c>
      <c r="AC106" s="23" t="str">
        <f>IF(tblRiskRegister32[[#This Row],[Risk Score]]&gt;AcceptableRisk,IF(tblRiskRegister32[[#This Row],[Risk Treatment Safeguard Risk Score]]&lt;AcceptableRisk, IF(tblRiskRegister32[[#This Row],[Risk Treatment Safeguard Risk Score]]&lt;=tblRiskRegister32[[#This Row],[Risk Score]],"Yes","No"),"No"),"Yes")</f>
        <v>Yes</v>
      </c>
      <c r="AD106" s="17"/>
      <c r="AE106" s="17"/>
      <c r="AF106" s="18"/>
    </row>
    <row r="107" spans="2:32" ht="56">
      <c r="B107" s="15" t="s">
        <v>95</v>
      </c>
      <c r="C107" s="50" t="s">
        <v>520</v>
      </c>
      <c r="D107" s="50">
        <v>14.2</v>
      </c>
      <c r="E107" s="14" t="s">
        <v>79</v>
      </c>
      <c r="F107" s="15" t="s">
        <v>567</v>
      </c>
      <c r="G107" s="15" t="s">
        <v>575</v>
      </c>
      <c r="H107" s="16">
        <v>5</v>
      </c>
      <c r="I107" s="24">
        <f>IFERROR(VLOOKUP(tblRiskRegister32[[#This Row],[Asset Class]],tblVCDBIndex[],4,FALSE),"")</f>
        <v>3</v>
      </c>
      <c r="J107" s="24">
        <f>IFERROR(VLOOKUP(10*tblRiskRegister32[[#This Row],[Safeguard Maturity Score]]+tblRiskRegister32[[#This Row],[VCDB Index]],tblHITIndexWeightTable[],4,FALSE),"")</f>
        <v>1</v>
      </c>
      <c r="K107" s="24">
        <f>VLOOKUP(tblRiskRegister32[[#This Row],[Asset Class]],tblInherentImpacts30[],2,FALSE)</f>
        <v>5</v>
      </c>
      <c r="L107" s="24">
        <f>VLOOKUP(tblRiskRegister32[[#This Row],[Asset Class]],tblInherentImpacts30[],3,FALSE)</f>
        <v>5</v>
      </c>
      <c r="M107" s="24">
        <f>VLOOKUP(tblRiskRegister32[[#This Row],[Asset Class]],tblInherentImpacts30[],4,FALSE)</f>
        <v>1</v>
      </c>
      <c r="N107" s="24">
        <f>VLOOKUP(tblRiskRegister32[[#This Row],[Asset Class]],tblInherentImpacts30[],5,FALSE)</f>
        <v>5</v>
      </c>
      <c r="O107" s="24">
        <f>IFERROR(MAX(tblRiskRegister32[[#This Row],[Impact to Mission]:[Impact to Obligations]])*tblRiskRegister32[[#This Row],[Expectancy Score]],"")</f>
        <v>5</v>
      </c>
      <c r="P107" s="24">
        <f>tblRiskRegister32[[#This Row],[Risk Score]]</f>
        <v>5</v>
      </c>
      <c r="Q107" s="50" t="s">
        <v>449</v>
      </c>
      <c r="R107" s="50">
        <v>14.2</v>
      </c>
      <c r="S107" s="15" t="s">
        <v>79</v>
      </c>
      <c r="T107" s="15" t="s">
        <v>380</v>
      </c>
      <c r="U107" s="26"/>
      <c r="V107" s="16"/>
      <c r="W107" s="23" t="str">
        <f>IFERROR(VLOOKUP(10*tblRiskRegister32[[#This Row],[Risk Treatment Safeguard Maturity Score]]+tblRiskRegister32[[#This Row],[VCDB Index]],tblHITIndexWeightTable[],4,FALSE),"")</f>
        <v/>
      </c>
      <c r="X107" s="23">
        <f>VLOOKUP(tblRiskRegister32[[#This Row],[Asset Class]],tblInherentImpacts30[],2,FALSE)</f>
        <v>5</v>
      </c>
      <c r="Y107" s="23">
        <f>VLOOKUP(tblRiskRegister32[[#This Row],[Asset Class]],tblInherentImpacts30[],3,FALSE)</f>
        <v>5</v>
      </c>
      <c r="Z107" s="23">
        <f>VLOOKUP(tblRiskRegister32[[#This Row],[Asset Class]],tblInherentImpacts30[],3,FALSE)</f>
        <v>5</v>
      </c>
      <c r="AA107" s="23">
        <f>VLOOKUP(tblRiskRegister32[[#This Row],[Asset Class]],tblInherentImpacts30[],4,FALSE)</f>
        <v>1</v>
      </c>
      <c r="AB107" s="23" t="str">
        <f>IFERROR(MAX(tblRiskRegister32[[#This Row],[Risk Treatment Safeguard Impact to Mission]:[Risk Treatment Safeguard Impact to Obligations]])*tblRiskRegister32[[#This Row],[Risk Treatment
Safeguard Expectancy Score]],"")</f>
        <v/>
      </c>
      <c r="AC107" s="23" t="str">
        <f>IF(tblRiskRegister32[[#This Row],[Risk Score]]&gt;AcceptableRisk,IF(tblRiskRegister32[[#This Row],[Risk Treatment Safeguard Risk Score]]&lt;AcceptableRisk, IF(tblRiskRegister32[[#This Row],[Risk Treatment Safeguard Risk Score]]&lt;=tblRiskRegister32[[#This Row],[Risk Score]],"Yes","No"),"No"),"Yes")</f>
        <v>Yes</v>
      </c>
      <c r="AD107" s="17"/>
      <c r="AE107" s="17"/>
      <c r="AF107" s="18"/>
    </row>
    <row r="108" spans="2:32" ht="42">
      <c r="B108" s="15" t="s">
        <v>95</v>
      </c>
      <c r="C108" s="50" t="s">
        <v>520</v>
      </c>
      <c r="D108" s="50">
        <v>14.3</v>
      </c>
      <c r="E108" s="14" t="s">
        <v>80</v>
      </c>
      <c r="F108" s="15" t="s">
        <v>568</v>
      </c>
      <c r="G108" s="15" t="s">
        <v>575</v>
      </c>
      <c r="H108" s="16">
        <v>5</v>
      </c>
      <c r="I108" s="24">
        <f>IFERROR(VLOOKUP(tblRiskRegister32[[#This Row],[Asset Class]],tblVCDBIndex[],4,FALSE),"")</f>
        <v>3</v>
      </c>
      <c r="J108" s="24">
        <f>IFERROR(VLOOKUP(10*tblRiskRegister32[[#This Row],[Safeguard Maturity Score]]+tblRiskRegister32[[#This Row],[VCDB Index]],tblHITIndexWeightTable[],4,FALSE),"")</f>
        <v>1</v>
      </c>
      <c r="K108" s="24">
        <f>VLOOKUP(tblRiskRegister32[[#This Row],[Asset Class]],tblInherentImpacts30[],2,FALSE)</f>
        <v>5</v>
      </c>
      <c r="L108" s="24">
        <f>VLOOKUP(tblRiskRegister32[[#This Row],[Asset Class]],tblInherentImpacts30[],3,FALSE)</f>
        <v>5</v>
      </c>
      <c r="M108" s="24">
        <f>VLOOKUP(tblRiskRegister32[[#This Row],[Asset Class]],tblInherentImpacts30[],4,FALSE)</f>
        <v>1</v>
      </c>
      <c r="N108" s="24">
        <f>VLOOKUP(tblRiskRegister32[[#This Row],[Asset Class]],tblInherentImpacts30[],5,FALSE)</f>
        <v>5</v>
      </c>
      <c r="O108" s="24">
        <f>IFERROR(MAX(tblRiskRegister32[[#This Row],[Impact to Mission]:[Impact to Obligations]])*tblRiskRegister32[[#This Row],[Expectancy Score]],"")</f>
        <v>5</v>
      </c>
      <c r="P108" s="24">
        <f>tblRiskRegister32[[#This Row],[Risk Score]]</f>
        <v>5</v>
      </c>
      <c r="Q108" s="50" t="s">
        <v>449</v>
      </c>
      <c r="R108" s="50">
        <v>14.3</v>
      </c>
      <c r="S108" s="15" t="s">
        <v>80</v>
      </c>
      <c r="T108" s="15" t="s">
        <v>381</v>
      </c>
      <c r="U108" s="26"/>
      <c r="V108" s="16"/>
      <c r="W108" s="23" t="str">
        <f>IFERROR(VLOOKUP(10*tblRiskRegister32[[#This Row],[Risk Treatment Safeguard Maturity Score]]+tblRiskRegister32[[#This Row],[VCDB Index]],tblHITIndexWeightTable[],4,FALSE),"")</f>
        <v/>
      </c>
      <c r="X108" s="23">
        <f>VLOOKUP(tblRiskRegister32[[#This Row],[Asset Class]],tblInherentImpacts30[],2,FALSE)</f>
        <v>5</v>
      </c>
      <c r="Y108" s="23">
        <f>VLOOKUP(tblRiskRegister32[[#This Row],[Asset Class]],tblInherentImpacts30[],3,FALSE)</f>
        <v>5</v>
      </c>
      <c r="Z108" s="23">
        <f>VLOOKUP(tblRiskRegister32[[#This Row],[Asset Class]],tblInherentImpacts30[],3,FALSE)</f>
        <v>5</v>
      </c>
      <c r="AA108" s="23">
        <f>VLOOKUP(tblRiskRegister32[[#This Row],[Asset Class]],tblInherentImpacts30[],4,FALSE)</f>
        <v>1</v>
      </c>
      <c r="AB108" s="23" t="str">
        <f>IFERROR(MAX(tblRiskRegister32[[#This Row],[Risk Treatment Safeguard Impact to Mission]:[Risk Treatment Safeguard Impact to Obligations]])*tblRiskRegister32[[#This Row],[Risk Treatment
Safeguard Expectancy Score]],"")</f>
        <v/>
      </c>
      <c r="AC108" s="23" t="str">
        <f>IF(tblRiskRegister32[[#This Row],[Risk Score]]&gt;AcceptableRisk,IF(tblRiskRegister32[[#This Row],[Risk Treatment Safeguard Risk Score]]&lt;AcceptableRisk, IF(tblRiskRegister32[[#This Row],[Risk Treatment Safeguard Risk Score]]&lt;=tblRiskRegister32[[#This Row],[Risk Score]],"Yes","No"),"No"),"Yes")</f>
        <v>Yes</v>
      </c>
      <c r="AD108" s="17"/>
      <c r="AE108" s="17"/>
      <c r="AF108" s="18"/>
    </row>
    <row r="109" spans="2:32" ht="70">
      <c r="B109" s="15" t="s">
        <v>95</v>
      </c>
      <c r="C109" s="50" t="s">
        <v>520</v>
      </c>
      <c r="D109" s="50">
        <v>14.4</v>
      </c>
      <c r="E109" s="14" t="s">
        <v>81</v>
      </c>
      <c r="F109" s="15" t="s">
        <v>542</v>
      </c>
      <c r="G109" s="15" t="s">
        <v>581</v>
      </c>
      <c r="H109" s="16">
        <v>1</v>
      </c>
      <c r="I109" s="24">
        <f>IFERROR(VLOOKUP(tblRiskRegister32[[#This Row],[Asset Class]],tblVCDBIndex[],4,FALSE),"")</f>
        <v>3</v>
      </c>
      <c r="J109" s="24">
        <f>IFERROR(VLOOKUP(10*tblRiskRegister32[[#This Row],[Safeguard Maturity Score]]+tblRiskRegister32[[#This Row],[VCDB Index]],tblHITIndexWeightTable[],4,FALSE),"")</f>
        <v>5</v>
      </c>
      <c r="K109" s="24">
        <f>VLOOKUP(tblRiskRegister32[[#This Row],[Asset Class]],tblInherentImpacts30[],2,FALSE)</f>
        <v>5</v>
      </c>
      <c r="L109" s="24">
        <f>VLOOKUP(tblRiskRegister32[[#This Row],[Asset Class]],tblInherentImpacts30[],3,FALSE)</f>
        <v>5</v>
      </c>
      <c r="M109" s="24">
        <f>VLOOKUP(tblRiskRegister32[[#This Row],[Asset Class]],tblInherentImpacts30[],4,FALSE)</f>
        <v>1</v>
      </c>
      <c r="N109" s="24">
        <f>VLOOKUP(tblRiskRegister32[[#This Row],[Asset Class]],tblInherentImpacts30[],5,FALSE)</f>
        <v>5</v>
      </c>
      <c r="O109" s="24">
        <f>IFERROR(MAX(tblRiskRegister32[[#This Row],[Impact to Mission]:[Impact to Obligations]])*tblRiskRegister32[[#This Row],[Expectancy Score]],"")</f>
        <v>25</v>
      </c>
      <c r="P109" s="24">
        <f>tblRiskRegister32[[#This Row],[Risk Score]]</f>
        <v>25</v>
      </c>
      <c r="Q109" s="50" t="s">
        <v>448</v>
      </c>
      <c r="R109" s="50">
        <v>14.4</v>
      </c>
      <c r="S109" s="15" t="s">
        <v>81</v>
      </c>
      <c r="T109" s="15" t="s">
        <v>382</v>
      </c>
      <c r="U109" s="26"/>
      <c r="V109" s="16"/>
      <c r="W109" s="23" t="str">
        <f>IFERROR(VLOOKUP(10*tblRiskRegister32[[#This Row],[Risk Treatment Safeguard Maturity Score]]+tblRiskRegister32[[#This Row],[VCDB Index]],tblHITIndexWeightTable[],4,FALSE),"")</f>
        <v/>
      </c>
      <c r="X109" s="23">
        <f>VLOOKUP(tblRiskRegister32[[#This Row],[Asset Class]],tblInherentImpacts30[],2,FALSE)</f>
        <v>5</v>
      </c>
      <c r="Y109" s="23">
        <f>VLOOKUP(tblRiskRegister32[[#This Row],[Asset Class]],tblInherentImpacts30[],3,FALSE)</f>
        <v>5</v>
      </c>
      <c r="Z109" s="23">
        <f>VLOOKUP(tblRiskRegister32[[#This Row],[Asset Class]],tblInherentImpacts30[],3,FALSE)</f>
        <v>5</v>
      </c>
      <c r="AA109" s="23">
        <f>VLOOKUP(tblRiskRegister32[[#This Row],[Asset Class]],tblInherentImpacts30[],4,FALSE)</f>
        <v>1</v>
      </c>
      <c r="AB109" s="23" t="str">
        <f>IFERROR(MAX(tblRiskRegister32[[#This Row],[Risk Treatment Safeguard Impact to Mission]:[Risk Treatment Safeguard Impact to Obligations]])*tblRiskRegister32[[#This Row],[Risk Treatment
Safeguard Expectancy Score]],"")</f>
        <v/>
      </c>
      <c r="AC109" s="23" t="str">
        <f>IF(tblRiskRegister32[[#This Row],[Risk Score]]&gt;AcceptableRisk,IF(tblRiskRegister32[[#This Row],[Risk Treatment Safeguard Risk Score]]&lt;AcceptableRisk, IF(tblRiskRegister32[[#This Row],[Risk Treatment Safeguard Risk Score]]&lt;=tblRiskRegister32[[#This Row],[Risk Score]],"Yes","No"),"No"),"Yes")</f>
        <v>No</v>
      </c>
      <c r="AD109" s="17"/>
      <c r="AE109" s="17"/>
      <c r="AF109" s="18"/>
    </row>
    <row r="110" spans="2:32" ht="42" hidden="1">
      <c r="B110" s="15" t="s">
        <v>95</v>
      </c>
      <c r="C110" s="50"/>
      <c r="D110" s="50">
        <v>14.5</v>
      </c>
      <c r="E110" s="14" t="s">
        <v>82</v>
      </c>
      <c r="F110" s="15"/>
      <c r="G110" s="15"/>
      <c r="H110" s="16"/>
      <c r="I110" s="24">
        <f>IFERROR(VLOOKUP(tblRiskRegister32[[#This Row],[Asset Class]],tblVCDBIndex[],4,FALSE),"")</f>
        <v>3</v>
      </c>
      <c r="J110" s="24" t="str">
        <f>IFERROR(VLOOKUP(10*tblRiskRegister32[[#This Row],[Safeguard Maturity Score]]+tblRiskRegister32[[#This Row],[VCDB Index]],tblHITIndexWeightTable[],4,FALSE),"")</f>
        <v/>
      </c>
      <c r="K110" s="24">
        <f>VLOOKUP(tblRiskRegister32[[#This Row],[Asset Class]],tblInherentImpacts30[],2,FALSE)</f>
        <v>5</v>
      </c>
      <c r="L110" s="24">
        <f>VLOOKUP(tblRiskRegister32[[#This Row],[Asset Class]],tblInherentImpacts30[],3,FALSE)</f>
        <v>5</v>
      </c>
      <c r="M110" s="24">
        <f>VLOOKUP(tblRiskRegister32[[#This Row],[Asset Class]],tblInherentImpacts30[],4,FALSE)</f>
        <v>1</v>
      </c>
      <c r="N110" s="24">
        <f>VLOOKUP(tblRiskRegister32[[#This Row],[Asset Class]],tblInherentImpacts30[],5,FALSE)</f>
        <v>5</v>
      </c>
      <c r="O110" s="24" t="str">
        <f>IFERROR(MAX(tblRiskRegister32[[#This Row],[Impact to Mission]:[Impact to Obligations]])*tblRiskRegister32[[#This Row],[Expectancy Score]],"")</f>
        <v/>
      </c>
      <c r="P110" s="24" t="str">
        <f>tblRiskRegister32[[#This Row],[Risk Score]]</f>
        <v/>
      </c>
      <c r="Q110" s="50"/>
      <c r="R110" s="50">
        <v>14.5</v>
      </c>
      <c r="S110" s="15" t="s">
        <v>82</v>
      </c>
      <c r="T110" s="15" t="s">
        <v>383</v>
      </c>
      <c r="U110" s="26"/>
      <c r="V110" s="16"/>
      <c r="W110" s="23" t="str">
        <f>IFERROR(VLOOKUP(10*tblRiskRegister32[[#This Row],[Risk Treatment Safeguard Maturity Score]]+tblRiskRegister32[[#This Row],[VCDB Index]],tblHITIndexWeightTable[],4,FALSE),"")</f>
        <v/>
      </c>
      <c r="X110" s="23">
        <f>VLOOKUP(tblRiskRegister32[[#This Row],[Asset Class]],tblInherentImpacts30[],2,FALSE)</f>
        <v>5</v>
      </c>
      <c r="Y110" s="23">
        <f>VLOOKUP(tblRiskRegister32[[#This Row],[Asset Class]],tblInherentImpacts30[],3,FALSE)</f>
        <v>5</v>
      </c>
      <c r="Z110" s="23">
        <f>VLOOKUP(tblRiskRegister32[[#This Row],[Asset Class]],tblInherentImpacts30[],3,FALSE)</f>
        <v>5</v>
      </c>
      <c r="AA110" s="23">
        <f>VLOOKUP(tblRiskRegister32[[#This Row],[Asset Class]],tblInherentImpacts30[],4,FALSE)</f>
        <v>1</v>
      </c>
      <c r="AB110" s="23" t="str">
        <f>IFERROR(MAX(tblRiskRegister32[[#This Row],[Risk Treatment Safeguard Impact to Mission]:[Risk Treatment Safeguard Impact to Obligations]])*tblRiskRegister32[[#This Row],[Risk Treatment
Safeguard Expectancy Score]],"")</f>
        <v/>
      </c>
      <c r="AC110" s="23" t="str">
        <f>IF(tblRiskRegister32[[#This Row],[Risk Score]]&gt;AcceptableRisk,IF(tblRiskRegister32[[#This Row],[Risk Treatment Safeguard Risk Score]]&lt;AcceptableRisk, IF(tblRiskRegister32[[#This Row],[Risk Treatment Safeguard Risk Score]]&lt;=tblRiskRegister32[[#This Row],[Risk Score]],"Yes","No"),"No"),"Yes")</f>
        <v>No</v>
      </c>
      <c r="AD110" s="17"/>
      <c r="AE110" s="17"/>
      <c r="AF110" s="18"/>
    </row>
    <row r="111" spans="2:32" ht="42" hidden="1">
      <c r="B111" s="15" t="s">
        <v>95</v>
      </c>
      <c r="C111" s="50"/>
      <c r="D111" s="50">
        <v>14.6</v>
      </c>
      <c r="E111" s="14" t="s">
        <v>83</v>
      </c>
      <c r="F111" s="15"/>
      <c r="G111" s="15"/>
      <c r="H111" s="16"/>
      <c r="I111" s="24">
        <f>IFERROR(VLOOKUP(tblRiskRegister32[[#This Row],[Asset Class]],tblVCDBIndex[],4,FALSE),"")</f>
        <v>3</v>
      </c>
      <c r="J111" s="24" t="str">
        <f>IFERROR(VLOOKUP(10*tblRiskRegister32[[#This Row],[Safeguard Maturity Score]]+tblRiskRegister32[[#This Row],[VCDB Index]],tblHITIndexWeightTable[],4,FALSE),"")</f>
        <v/>
      </c>
      <c r="K111" s="24">
        <f>VLOOKUP(tblRiskRegister32[[#This Row],[Asset Class]],tblInherentImpacts30[],2,FALSE)</f>
        <v>5</v>
      </c>
      <c r="L111" s="24">
        <f>VLOOKUP(tblRiskRegister32[[#This Row],[Asset Class]],tblInherentImpacts30[],3,FALSE)</f>
        <v>5</v>
      </c>
      <c r="M111" s="24">
        <f>VLOOKUP(tblRiskRegister32[[#This Row],[Asset Class]],tblInherentImpacts30[],4,FALSE)</f>
        <v>1</v>
      </c>
      <c r="N111" s="24">
        <f>VLOOKUP(tblRiskRegister32[[#This Row],[Asset Class]],tblInherentImpacts30[],5,FALSE)</f>
        <v>5</v>
      </c>
      <c r="O111" s="24" t="str">
        <f>IFERROR(MAX(tblRiskRegister32[[#This Row],[Impact to Mission]:[Impact to Obligations]])*tblRiskRegister32[[#This Row],[Expectancy Score]],"")</f>
        <v/>
      </c>
      <c r="P111" s="24" t="str">
        <f>tblRiskRegister32[[#This Row],[Risk Score]]</f>
        <v/>
      </c>
      <c r="Q111" s="50"/>
      <c r="R111" s="50">
        <v>14.6</v>
      </c>
      <c r="S111" s="15" t="s">
        <v>83</v>
      </c>
      <c r="T111" s="15" t="s">
        <v>384</v>
      </c>
      <c r="U111" s="26"/>
      <c r="V111" s="16"/>
      <c r="W111" s="23" t="str">
        <f>IFERROR(VLOOKUP(10*tblRiskRegister32[[#This Row],[Risk Treatment Safeguard Maturity Score]]+tblRiskRegister32[[#This Row],[VCDB Index]],tblHITIndexWeightTable[],4,FALSE),"")</f>
        <v/>
      </c>
      <c r="X111" s="23">
        <f>VLOOKUP(tblRiskRegister32[[#This Row],[Asset Class]],tblInherentImpacts30[],2,FALSE)</f>
        <v>5</v>
      </c>
      <c r="Y111" s="23">
        <f>VLOOKUP(tblRiskRegister32[[#This Row],[Asset Class]],tblInherentImpacts30[],3,FALSE)</f>
        <v>5</v>
      </c>
      <c r="Z111" s="23">
        <f>VLOOKUP(tblRiskRegister32[[#This Row],[Asset Class]],tblInherentImpacts30[],3,FALSE)</f>
        <v>5</v>
      </c>
      <c r="AA111" s="23">
        <f>VLOOKUP(tblRiskRegister32[[#This Row],[Asset Class]],tblInherentImpacts30[],4,FALSE)</f>
        <v>1</v>
      </c>
      <c r="AB111" s="23" t="str">
        <f>IFERROR(MAX(tblRiskRegister32[[#This Row],[Risk Treatment Safeguard Impact to Mission]:[Risk Treatment Safeguard Impact to Obligations]])*tblRiskRegister32[[#This Row],[Risk Treatment
Safeguard Expectancy Score]],"")</f>
        <v/>
      </c>
      <c r="AC111" s="23" t="str">
        <f>IF(tblRiskRegister32[[#This Row],[Risk Score]]&gt;AcceptableRisk,IF(tblRiskRegister32[[#This Row],[Risk Treatment Safeguard Risk Score]]&lt;AcceptableRisk, IF(tblRiskRegister32[[#This Row],[Risk Treatment Safeguard Risk Score]]&lt;=tblRiskRegister32[[#This Row],[Risk Score]],"Yes","No"),"No"),"Yes")</f>
        <v>No</v>
      </c>
      <c r="AD111" s="17"/>
      <c r="AE111" s="17"/>
      <c r="AF111" s="18"/>
    </row>
    <row r="112" spans="2:32" ht="42" hidden="1">
      <c r="B112" s="15" t="s">
        <v>95</v>
      </c>
      <c r="C112" s="50"/>
      <c r="D112" s="50">
        <v>14.7</v>
      </c>
      <c r="E112" s="14" t="s">
        <v>84</v>
      </c>
      <c r="F112" s="15"/>
      <c r="G112" s="15"/>
      <c r="H112" s="16"/>
      <c r="I112" s="24">
        <f>IFERROR(VLOOKUP(tblRiskRegister32[[#This Row],[Asset Class]],tblVCDBIndex[],4,FALSE),"")</f>
        <v>3</v>
      </c>
      <c r="J112" s="24" t="str">
        <f>IFERROR(VLOOKUP(10*tblRiskRegister32[[#This Row],[Safeguard Maturity Score]]+tblRiskRegister32[[#This Row],[VCDB Index]],tblHITIndexWeightTable[],4,FALSE),"")</f>
        <v/>
      </c>
      <c r="K112" s="24">
        <f>VLOOKUP(tblRiskRegister32[[#This Row],[Asset Class]],tblInherentImpacts30[],2,FALSE)</f>
        <v>5</v>
      </c>
      <c r="L112" s="24">
        <f>VLOOKUP(tblRiskRegister32[[#This Row],[Asset Class]],tblInherentImpacts30[],3,FALSE)</f>
        <v>5</v>
      </c>
      <c r="M112" s="24">
        <f>VLOOKUP(tblRiskRegister32[[#This Row],[Asset Class]],tblInherentImpacts30[],4,FALSE)</f>
        <v>1</v>
      </c>
      <c r="N112" s="24">
        <f>VLOOKUP(tblRiskRegister32[[#This Row],[Asset Class]],tblInherentImpacts30[],5,FALSE)</f>
        <v>5</v>
      </c>
      <c r="O112" s="24" t="str">
        <f>IFERROR(MAX(tblRiskRegister32[[#This Row],[Impact to Mission]:[Impact to Obligations]])*tblRiskRegister32[[#This Row],[Expectancy Score]],"")</f>
        <v/>
      </c>
      <c r="P112" s="24" t="str">
        <f>tblRiskRegister32[[#This Row],[Risk Score]]</f>
        <v/>
      </c>
      <c r="Q112" s="50"/>
      <c r="R112" s="50">
        <v>14.7</v>
      </c>
      <c r="S112" s="15" t="s">
        <v>84</v>
      </c>
      <c r="T112" s="15" t="s">
        <v>385</v>
      </c>
      <c r="U112" s="26"/>
      <c r="V112" s="16"/>
      <c r="W112" s="23" t="str">
        <f>IFERROR(VLOOKUP(10*tblRiskRegister32[[#This Row],[Risk Treatment Safeguard Maturity Score]]+tblRiskRegister32[[#This Row],[VCDB Index]],tblHITIndexWeightTable[],4,FALSE),"")</f>
        <v/>
      </c>
      <c r="X112" s="23">
        <f>VLOOKUP(tblRiskRegister32[[#This Row],[Asset Class]],tblInherentImpacts30[],2,FALSE)</f>
        <v>5</v>
      </c>
      <c r="Y112" s="23">
        <f>VLOOKUP(tblRiskRegister32[[#This Row],[Asset Class]],tblInherentImpacts30[],3,FALSE)</f>
        <v>5</v>
      </c>
      <c r="Z112" s="23">
        <f>VLOOKUP(tblRiskRegister32[[#This Row],[Asset Class]],tblInherentImpacts30[],3,FALSE)</f>
        <v>5</v>
      </c>
      <c r="AA112" s="23">
        <f>VLOOKUP(tblRiskRegister32[[#This Row],[Asset Class]],tblInherentImpacts30[],4,FALSE)</f>
        <v>1</v>
      </c>
      <c r="AB112" s="23" t="str">
        <f>IFERROR(MAX(tblRiskRegister32[[#This Row],[Risk Treatment Safeguard Impact to Mission]:[Risk Treatment Safeguard Impact to Obligations]])*tblRiskRegister32[[#This Row],[Risk Treatment
Safeguard Expectancy Score]],"")</f>
        <v/>
      </c>
      <c r="AC112" s="23" t="str">
        <f>IF(tblRiskRegister32[[#This Row],[Risk Score]]&gt;AcceptableRisk,IF(tblRiskRegister32[[#This Row],[Risk Treatment Safeguard Risk Score]]&lt;AcceptableRisk, IF(tblRiskRegister32[[#This Row],[Risk Treatment Safeguard Risk Score]]&lt;=tblRiskRegister32[[#This Row],[Risk Score]],"Yes","No"),"No"),"Yes")</f>
        <v>No</v>
      </c>
      <c r="AD112" s="17"/>
      <c r="AE112" s="17"/>
      <c r="AF112" s="18"/>
    </row>
    <row r="113" spans="2:32" ht="56" hidden="1">
      <c r="B113" s="15" t="s">
        <v>95</v>
      </c>
      <c r="C113" s="50"/>
      <c r="D113" s="50">
        <v>14.8</v>
      </c>
      <c r="E113" s="14" t="s">
        <v>85</v>
      </c>
      <c r="F113" s="15"/>
      <c r="G113" s="15"/>
      <c r="H113" s="16"/>
      <c r="I113" s="24">
        <f>IFERROR(VLOOKUP(tblRiskRegister32[[#This Row],[Asset Class]],tblVCDBIndex[],4,FALSE),"")</f>
        <v>3</v>
      </c>
      <c r="J113" s="24" t="str">
        <f>IFERROR(VLOOKUP(10*tblRiskRegister32[[#This Row],[Safeguard Maturity Score]]+tblRiskRegister32[[#This Row],[VCDB Index]],tblHITIndexWeightTable[],4,FALSE),"")</f>
        <v/>
      </c>
      <c r="K113" s="24">
        <f>VLOOKUP(tblRiskRegister32[[#This Row],[Asset Class]],tblInherentImpacts30[],2,FALSE)</f>
        <v>5</v>
      </c>
      <c r="L113" s="24">
        <f>VLOOKUP(tblRiskRegister32[[#This Row],[Asset Class]],tblInherentImpacts30[],3,FALSE)</f>
        <v>5</v>
      </c>
      <c r="M113" s="24">
        <f>VLOOKUP(tblRiskRegister32[[#This Row],[Asset Class]],tblInherentImpacts30[],4,FALSE)</f>
        <v>1</v>
      </c>
      <c r="N113" s="24">
        <f>VLOOKUP(tblRiskRegister32[[#This Row],[Asset Class]],tblInherentImpacts30[],5,FALSE)</f>
        <v>5</v>
      </c>
      <c r="O113" s="24" t="str">
        <f>IFERROR(MAX(tblRiskRegister32[[#This Row],[Impact to Mission]:[Impact to Obligations]])*tblRiskRegister32[[#This Row],[Expectancy Score]],"")</f>
        <v/>
      </c>
      <c r="P113" s="24" t="str">
        <f>tblRiskRegister32[[#This Row],[Risk Score]]</f>
        <v/>
      </c>
      <c r="Q113" s="50"/>
      <c r="R113" s="50">
        <v>14.8</v>
      </c>
      <c r="S113" s="15" t="s">
        <v>85</v>
      </c>
      <c r="T113" s="15" t="s">
        <v>386</v>
      </c>
      <c r="U113" s="26"/>
      <c r="V113" s="16"/>
      <c r="W113" s="23" t="str">
        <f>IFERROR(VLOOKUP(10*tblRiskRegister32[[#This Row],[Risk Treatment Safeguard Maturity Score]]+tblRiskRegister32[[#This Row],[VCDB Index]],tblHITIndexWeightTable[],4,FALSE),"")</f>
        <v/>
      </c>
      <c r="X113" s="23">
        <f>VLOOKUP(tblRiskRegister32[[#This Row],[Asset Class]],tblInherentImpacts30[],2,FALSE)</f>
        <v>5</v>
      </c>
      <c r="Y113" s="23">
        <f>VLOOKUP(tblRiskRegister32[[#This Row],[Asset Class]],tblInherentImpacts30[],3,FALSE)</f>
        <v>5</v>
      </c>
      <c r="Z113" s="23">
        <f>VLOOKUP(tblRiskRegister32[[#This Row],[Asset Class]],tblInherentImpacts30[],3,FALSE)</f>
        <v>5</v>
      </c>
      <c r="AA113" s="23">
        <f>VLOOKUP(tblRiskRegister32[[#This Row],[Asset Class]],tblInherentImpacts30[],4,FALSE)</f>
        <v>1</v>
      </c>
      <c r="AB113" s="23" t="str">
        <f>IFERROR(MAX(tblRiskRegister32[[#This Row],[Risk Treatment Safeguard Impact to Mission]:[Risk Treatment Safeguard Impact to Obligations]])*tblRiskRegister32[[#This Row],[Risk Treatment
Safeguard Expectancy Score]],"")</f>
        <v/>
      </c>
      <c r="AC113" s="23" t="str">
        <f>IF(tblRiskRegister32[[#This Row],[Risk Score]]&gt;AcceptableRisk,IF(tblRiskRegister32[[#This Row],[Risk Treatment Safeguard Risk Score]]&lt;AcceptableRisk, IF(tblRiskRegister32[[#This Row],[Risk Treatment Safeguard Risk Score]]&lt;=tblRiskRegister32[[#This Row],[Risk Score]],"Yes","No"),"No"),"Yes")</f>
        <v>No</v>
      </c>
      <c r="AD113" s="17"/>
      <c r="AE113" s="17"/>
      <c r="AF113" s="18"/>
    </row>
    <row r="114" spans="2:32" ht="56" hidden="1">
      <c r="B114" s="15" t="s">
        <v>95</v>
      </c>
      <c r="C114" s="50"/>
      <c r="D114" s="50">
        <v>14.9</v>
      </c>
      <c r="E114" s="14" t="s">
        <v>197</v>
      </c>
      <c r="F114" s="15"/>
      <c r="G114" s="15"/>
      <c r="H114" s="16"/>
      <c r="I114" s="24">
        <f>IFERROR(VLOOKUP(tblRiskRegister32[[#This Row],[Asset Class]],tblVCDBIndex[],4,FALSE),"")</f>
        <v>3</v>
      </c>
      <c r="J114" s="24" t="str">
        <f>IFERROR(VLOOKUP(10*tblRiskRegister32[[#This Row],[Safeguard Maturity Score]]+tblRiskRegister32[[#This Row],[VCDB Index]],tblHITIndexWeightTable[],4,FALSE),"")</f>
        <v/>
      </c>
      <c r="K114" s="24">
        <f>VLOOKUP(tblRiskRegister32[[#This Row],[Asset Class]],tblInherentImpacts30[],2,FALSE)</f>
        <v>5</v>
      </c>
      <c r="L114" s="24">
        <f>VLOOKUP(tblRiskRegister32[[#This Row],[Asset Class]],tblInherentImpacts30[],3,FALSE)</f>
        <v>5</v>
      </c>
      <c r="M114" s="24">
        <f>VLOOKUP(tblRiskRegister32[[#This Row],[Asset Class]],tblInherentImpacts30[],4,FALSE)</f>
        <v>1</v>
      </c>
      <c r="N114" s="24">
        <f>VLOOKUP(tblRiskRegister32[[#This Row],[Asset Class]],tblInherentImpacts30[],5,FALSE)</f>
        <v>5</v>
      </c>
      <c r="O114" s="24" t="str">
        <f>IFERROR(MAX(tblRiskRegister32[[#This Row],[Impact to Mission]:[Impact to Obligations]])*tblRiskRegister32[[#This Row],[Expectancy Score]],"")</f>
        <v/>
      </c>
      <c r="P114" s="24" t="str">
        <f>tblRiskRegister32[[#This Row],[Risk Score]]</f>
        <v/>
      </c>
      <c r="Q114" s="50"/>
      <c r="R114" s="50">
        <v>14.9</v>
      </c>
      <c r="S114" s="15" t="s">
        <v>197</v>
      </c>
      <c r="T114" s="15" t="s">
        <v>387</v>
      </c>
      <c r="U114" s="26"/>
      <c r="V114" s="16"/>
      <c r="W114" s="23" t="str">
        <f>IFERROR(VLOOKUP(10*tblRiskRegister32[[#This Row],[Risk Treatment Safeguard Maturity Score]]+tblRiskRegister32[[#This Row],[VCDB Index]],tblHITIndexWeightTable[],4,FALSE),"")</f>
        <v/>
      </c>
      <c r="X114" s="23">
        <f>VLOOKUP(tblRiskRegister32[[#This Row],[Asset Class]],tblInherentImpacts30[],2,FALSE)</f>
        <v>5</v>
      </c>
      <c r="Y114" s="23">
        <f>VLOOKUP(tblRiskRegister32[[#This Row],[Asset Class]],tblInherentImpacts30[],3,FALSE)</f>
        <v>5</v>
      </c>
      <c r="Z114" s="23">
        <f>VLOOKUP(tblRiskRegister32[[#This Row],[Asset Class]],tblInherentImpacts30[],3,FALSE)</f>
        <v>5</v>
      </c>
      <c r="AA114" s="23">
        <f>VLOOKUP(tblRiskRegister32[[#This Row],[Asset Class]],tblInherentImpacts30[],4,FALSE)</f>
        <v>1</v>
      </c>
      <c r="AB114" s="23" t="str">
        <f>IFERROR(MAX(tblRiskRegister32[[#This Row],[Risk Treatment Safeguard Impact to Mission]:[Risk Treatment Safeguard Impact to Obligations]])*tblRiskRegister32[[#This Row],[Risk Treatment
Safeguard Expectancy Score]],"")</f>
        <v/>
      </c>
      <c r="AC114" s="23" t="str">
        <f>IF(tblRiskRegister32[[#This Row],[Risk Score]]&gt;AcceptableRisk,IF(tblRiskRegister32[[#This Row],[Risk Treatment Safeguard Risk Score]]&lt;AcceptableRisk, IF(tblRiskRegister32[[#This Row],[Risk Treatment Safeguard Risk Score]]&lt;=tblRiskRegister32[[#This Row],[Risk Score]],"Yes","No"),"No"),"Yes")</f>
        <v>No</v>
      </c>
      <c r="AD114" s="17"/>
      <c r="AE114" s="17"/>
      <c r="AF114" s="18"/>
    </row>
    <row r="115" spans="2:32" ht="56" hidden="1">
      <c r="B115" s="15" t="s">
        <v>95</v>
      </c>
      <c r="C115" s="50"/>
      <c r="D115" s="50">
        <v>15.1</v>
      </c>
      <c r="E115" s="14" t="s">
        <v>86</v>
      </c>
      <c r="F115" s="15"/>
      <c r="G115" s="15"/>
      <c r="H115" s="16"/>
      <c r="I115" s="24">
        <f>IFERROR(VLOOKUP(tblRiskRegister32[[#This Row],[Asset Class]],tblVCDBIndex[],4,FALSE),"")</f>
        <v>3</v>
      </c>
      <c r="J115" s="24" t="str">
        <f>IFERROR(VLOOKUP(10*tblRiskRegister32[[#This Row],[Safeguard Maturity Score]]+tblRiskRegister32[[#This Row],[VCDB Index]],tblHITIndexWeightTable[],4,FALSE),"")</f>
        <v/>
      </c>
      <c r="K115" s="24">
        <f>VLOOKUP(tblRiskRegister32[[#This Row],[Asset Class]],tblInherentImpacts30[],2,FALSE)</f>
        <v>5</v>
      </c>
      <c r="L115" s="24">
        <f>VLOOKUP(tblRiskRegister32[[#This Row],[Asset Class]],tblInherentImpacts30[],3,FALSE)</f>
        <v>5</v>
      </c>
      <c r="M115" s="24">
        <f>VLOOKUP(tblRiskRegister32[[#This Row],[Asset Class]],tblInherentImpacts30[],4,FALSE)</f>
        <v>1</v>
      </c>
      <c r="N115" s="24">
        <f>VLOOKUP(tblRiskRegister32[[#This Row],[Asset Class]],tblInherentImpacts30[],5,FALSE)</f>
        <v>5</v>
      </c>
      <c r="O115" s="24" t="str">
        <f>IFERROR(MAX(tblRiskRegister32[[#This Row],[Impact to Mission]:[Impact to Obligations]])*tblRiskRegister32[[#This Row],[Expectancy Score]],"")</f>
        <v/>
      </c>
      <c r="P115" s="24" t="str">
        <f>tblRiskRegister32[[#This Row],[Risk Score]]</f>
        <v/>
      </c>
      <c r="Q115" s="50"/>
      <c r="R115" s="50">
        <v>15.1</v>
      </c>
      <c r="S115" s="15" t="s">
        <v>86</v>
      </c>
      <c r="T115" s="15" t="s">
        <v>388</v>
      </c>
      <c r="U115" s="26"/>
      <c r="V115" s="16"/>
      <c r="W115" s="23" t="str">
        <f>IFERROR(VLOOKUP(10*tblRiskRegister32[[#This Row],[Risk Treatment Safeguard Maturity Score]]+tblRiskRegister32[[#This Row],[VCDB Index]],tblHITIndexWeightTable[],4,FALSE),"")</f>
        <v/>
      </c>
      <c r="X115" s="23">
        <f>VLOOKUP(tblRiskRegister32[[#This Row],[Asset Class]],tblInherentImpacts30[],2,FALSE)</f>
        <v>5</v>
      </c>
      <c r="Y115" s="23">
        <f>VLOOKUP(tblRiskRegister32[[#This Row],[Asset Class]],tblInherentImpacts30[],3,FALSE)</f>
        <v>5</v>
      </c>
      <c r="Z115" s="23">
        <f>VLOOKUP(tblRiskRegister32[[#This Row],[Asset Class]],tblInherentImpacts30[],3,FALSE)</f>
        <v>5</v>
      </c>
      <c r="AA115" s="23">
        <f>VLOOKUP(tblRiskRegister32[[#This Row],[Asset Class]],tblInherentImpacts30[],4,FALSE)</f>
        <v>1</v>
      </c>
      <c r="AB115" s="23" t="str">
        <f>IFERROR(MAX(tblRiskRegister32[[#This Row],[Risk Treatment Safeguard Impact to Mission]:[Risk Treatment Safeguard Impact to Obligations]])*tblRiskRegister32[[#This Row],[Risk Treatment
Safeguard Expectancy Score]],"")</f>
        <v/>
      </c>
      <c r="AC115" s="23" t="str">
        <f>IF(tblRiskRegister32[[#This Row],[Risk Score]]&gt;AcceptableRisk,IF(tblRiskRegister32[[#This Row],[Risk Treatment Safeguard Risk Score]]&lt;AcceptableRisk, IF(tblRiskRegister32[[#This Row],[Risk Treatment Safeguard Risk Score]]&lt;=tblRiskRegister32[[#This Row],[Risk Score]],"Yes","No"),"No"),"Yes")</f>
        <v>No</v>
      </c>
      <c r="AD115" s="17"/>
      <c r="AE115" s="17"/>
      <c r="AF115" s="18"/>
    </row>
    <row r="116" spans="2:32" ht="56" hidden="1">
      <c r="B116" s="15" t="s">
        <v>95</v>
      </c>
      <c r="C116" s="50"/>
      <c r="D116" s="50">
        <v>15.2</v>
      </c>
      <c r="E116" s="14" t="s">
        <v>198</v>
      </c>
      <c r="F116" s="15"/>
      <c r="G116" s="15"/>
      <c r="H116" s="16"/>
      <c r="I116" s="24">
        <f>IFERROR(VLOOKUP(tblRiskRegister32[[#This Row],[Asset Class]],tblVCDBIndex[],4,FALSE),"")</f>
        <v>3</v>
      </c>
      <c r="J116" s="24" t="str">
        <f>IFERROR(VLOOKUP(10*tblRiskRegister32[[#This Row],[Safeguard Maturity Score]]+tblRiskRegister32[[#This Row],[VCDB Index]],tblHITIndexWeightTable[],4,FALSE),"")</f>
        <v/>
      </c>
      <c r="K116" s="24">
        <f>VLOOKUP(tblRiskRegister32[[#This Row],[Asset Class]],tblInherentImpacts30[],2,FALSE)</f>
        <v>5</v>
      </c>
      <c r="L116" s="24">
        <f>VLOOKUP(tblRiskRegister32[[#This Row],[Asset Class]],tblInherentImpacts30[],3,FALSE)</f>
        <v>5</v>
      </c>
      <c r="M116" s="24">
        <f>VLOOKUP(tblRiskRegister32[[#This Row],[Asset Class]],tblInherentImpacts30[],4,FALSE)</f>
        <v>1</v>
      </c>
      <c r="N116" s="24">
        <f>VLOOKUP(tblRiskRegister32[[#This Row],[Asset Class]],tblInherentImpacts30[],5,FALSE)</f>
        <v>5</v>
      </c>
      <c r="O116" s="24" t="str">
        <f>IFERROR(MAX(tblRiskRegister32[[#This Row],[Impact to Mission]:[Impact to Obligations]])*tblRiskRegister32[[#This Row],[Expectancy Score]],"")</f>
        <v/>
      </c>
      <c r="P116" s="24" t="str">
        <f>tblRiskRegister32[[#This Row],[Risk Score]]</f>
        <v/>
      </c>
      <c r="Q116" s="50"/>
      <c r="R116" s="50">
        <v>15.2</v>
      </c>
      <c r="S116" s="15" t="s">
        <v>198</v>
      </c>
      <c r="T116" s="15" t="s">
        <v>389</v>
      </c>
      <c r="U116" s="26"/>
      <c r="V116" s="16"/>
      <c r="W116" s="23" t="str">
        <f>IFERROR(VLOOKUP(10*tblRiskRegister32[[#This Row],[Risk Treatment Safeguard Maturity Score]]+tblRiskRegister32[[#This Row],[VCDB Index]],tblHITIndexWeightTable[],4,FALSE),"")</f>
        <v/>
      </c>
      <c r="X116" s="23">
        <f>VLOOKUP(tblRiskRegister32[[#This Row],[Asset Class]],tblInherentImpacts30[],2,FALSE)</f>
        <v>5</v>
      </c>
      <c r="Y116" s="23">
        <f>VLOOKUP(tblRiskRegister32[[#This Row],[Asset Class]],tblInherentImpacts30[],3,FALSE)</f>
        <v>5</v>
      </c>
      <c r="Z116" s="23">
        <f>VLOOKUP(tblRiskRegister32[[#This Row],[Asset Class]],tblInherentImpacts30[],3,FALSE)</f>
        <v>5</v>
      </c>
      <c r="AA116" s="23">
        <f>VLOOKUP(tblRiskRegister32[[#This Row],[Asset Class]],tblInherentImpacts30[],4,FALSE)</f>
        <v>1</v>
      </c>
      <c r="AB116" s="23" t="str">
        <f>IFERROR(MAX(tblRiskRegister32[[#This Row],[Risk Treatment Safeguard Impact to Mission]:[Risk Treatment Safeguard Impact to Obligations]])*tblRiskRegister32[[#This Row],[Risk Treatment
Safeguard Expectancy Score]],"")</f>
        <v/>
      </c>
      <c r="AC116" s="23" t="str">
        <f>IF(tblRiskRegister32[[#This Row],[Risk Score]]&gt;AcceptableRisk,IF(tblRiskRegister32[[#This Row],[Risk Treatment Safeguard Risk Score]]&lt;AcceptableRisk, IF(tblRiskRegister32[[#This Row],[Risk Treatment Safeguard Risk Score]]&lt;=tblRiskRegister32[[#This Row],[Risk Score]],"Yes","No"),"No"),"Yes")</f>
        <v>No</v>
      </c>
      <c r="AD116" s="17"/>
      <c r="AE116" s="17"/>
      <c r="AF116" s="18"/>
    </row>
    <row r="117" spans="2:32" ht="56" hidden="1">
      <c r="B117" s="15" t="s">
        <v>95</v>
      </c>
      <c r="C117" s="50"/>
      <c r="D117" s="50">
        <v>15.3</v>
      </c>
      <c r="E117" s="14" t="s">
        <v>199</v>
      </c>
      <c r="F117" s="15"/>
      <c r="G117" s="15"/>
      <c r="H117" s="16"/>
      <c r="I117" s="24">
        <f>IFERROR(VLOOKUP(tblRiskRegister32[[#This Row],[Asset Class]],tblVCDBIndex[],4,FALSE),"")</f>
        <v>3</v>
      </c>
      <c r="J117" s="24" t="str">
        <f>IFERROR(VLOOKUP(10*tblRiskRegister32[[#This Row],[Safeguard Maturity Score]]+tblRiskRegister32[[#This Row],[VCDB Index]],tblHITIndexWeightTable[],4,FALSE),"")</f>
        <v/>
      </c>
      <c r="K117" s="24">
        <f>VLOOKUP(tblRiskRegister32[[#This Row],[Asset Class]],tblInherentImpacts30[],2,FALSE)</f>
        <v>5</v>
      </c>
      <c r="L117" s="24">
        <f>VLOOKUP(tblRiskRegister32[[#This Row],[Asset Class]],tblInherentImpacts30[],3,FALSE)</f>
        <v>5</v>
      </c>
      <c r="M117" s="24">
        <f>VLOOKUP(tblRiskRegister32[[#This Row],[Asset Class]],tblInherentImpacts30[],4,FALSE)</f>
        <v>1</v>
      </c>
      <c r="N117" s="24">
        <f>VLOOKUP(tblRiskRegister32[[#This Row],[Asset Class]],tblInherentImpacts30[],5,FALSE)</f>
        <v>5</v>
      </c>
      <c r="O117" s="24" t="str">
        <f>IFERROR(MAX(tblRiskRegister32[[#This Row],[Impact to Mission]:[Impact to Obligations]])*tblRiskRegister32[[#This Row],[Expectancy Score]],"")</f>
        <v/>
      </c>
      <c r="P117" s="24" t="str">
        <f>tblRiskRegister32[[#This Row],[Risk Score]]</f>
        <v/>
      </c>
      <c r="Q117" s="50"/>
      <c r="R117" s="50">
        <v>15.3</v>
      </c>
      <c r="S117" s="15" t="s">
        <v>199</v>
      </c>
      <c r="T117" s="15" t="s">
        <v>390</v>
      </c>
      <c r="U117" s="26"/>
      <c r="V117" s="16"/>
      <c r="W117" s="23" t="str">
        <f>IFERROR(VLOOKUP(10*tblRiskRegister32[[#This Row],[Risk Treatment Safeguard Maturity Score]]+tblRiskRegister32[[#This Row],[VCDB Index]],tblHITIndexWeightTable[],4,FALSE),"")</f>
        <v/>
      </c>
      <c r="X117" s="23">
        <f>VLOOKUP(tblRiskRegister32[[#This Row],[Asset Class]],tblInherentImpacts30[],2,FALSE)</f>
        <v>5</v>
      </c>
      <c r="Y117" s="23">
        <f>VLOOKUP(tblRiskRegister32[[#This Row],[Asset Class]],tblInherentImpacts30[],3,FALSE)</f>
        <v>5</v>
      </c>
      <c r="Z117" s="23">
        <f>VLOOKUP(tblRiskRegister32[[#This Row],[Asset Class]],tblInherentImpacts30[],3,FALSE)</f>
        <v>5</v>
      </c>
      <c r="AA117" s="23">
        <f>VLOOKUP(tblRiskRegister32[[#This Row],[Asset Class]],tblInherentImpacts30[],4,FALSE)</f>
        <v>1</v>
      </c>
      <c r="AB117" s="23" t="str">
        <f>IFERROR(MAX(tblRiskRegister32[[#This Row],[Risk Treatment Safeguard Impact to Mission]:[Risk Treatment Safeguard Impact to Obligations]])*tblRiskRegister32[[#This Row],[Risk Treatment
Safeguard Expectancy Score]],"")</f>
        <v/>
      </c>
      <c r="AC117" s="23" t="str">
        <f>IF(tblRiskRegister32[[#This Row],[Risk Score]]&gt;AcceptableRisk,IF(tblRiskRegister32[[#This Row],[Risk Treatment Safeguard Risk Score]]&lt;AcceptableRisk, IF(tblRiskRegister32[[#This Row],[Risk Treatment Safeguard Risk Score]]&lt;=tblRiskRegister32[[#This Row],[Risk Score]],"Yes","No"),"No"),"Yes")</f>
        <v>No</v>
      </c>
      <c r="AD117" s="17"/>
      <c r="AE117" s="17"/>
      <c r="AF117" s="18"/>
    </row>
    <row r="118" spans="2:32" ht="84" hidden="1">
      <c r="B118" s="15" t="s">
        <v>95</v>
      </c>
      <c r="C118" s="50"/>
      <c r="D118" s="50">
        <v>15.4</v>
      </c>
      <c r="E118" s="14" t="s">
        <v>200</v>
      </c>
      <c r="F118" s="15"/>
      <c r="G118" s="15"/>
      <c r="H118" s="16"/>
      <c r="I118" s="24">
        <f>IFERROR(VLOOKUP(tblRiskRegister32[[#This Row],[Asset Class]],tblVCDBIndex[],4,FALSE),"")</f>
        <v>3</v>
      </c>
      <c r="J118" s="24" t="str">
        <f>IFERROR(VLOOKUP(10*tblRiskRegister32[[#This Row],[Safeguard Maturity Score]]+tblRiskRegister32[[#This Row],[VCDB Index]],tblHITIndexWeightTable[],4,FALSE),"")</f>
        <v/>
      </c>
      <c r="K118" s="24">
        <f>VLOOKUP(tblRiskRegister32[[#This Row],[Asset Class]],tblInherentImpacts30[],2,FALSE)</f>
        <v>5</v>
      </c>
      <c r="L118" s="24">
        <f>VLOOKUP(tblRiskRegister32[[#This Row],[Asset Class]],tblInherentImpacts30[],3,FALSE)</f>
        <v>5</v>
      </c>
      <c r="M118" s="24">
        <f>VLOOKUP(tblRiskRegister32[[#This Row],[Asset Class]],tblInherentImpacts30[],4,FALSE)</f>
        <v>1</v>
      </c>
      <c r="N118" s="24">
        <f>VLOOKUP(tblRiskRegister32[[#This Row],[Asset Class]],tblInherentImpacts30[],5,FALSE)</f>
        <v>5</v>
      </c>
      <c r="O118" s="24" t="str">
        <f>IFERROR(MAX(tblRiskRegister32[[#This Row],[Impact to Mission]:[Impact to Obligations]])*tblRiskRegister32[[#This Row],[Expectancy Score]],"")</f>
        <v/>
      </c>
      <c r="P118" s="24" t="str">
        <f>tblRiskRegister32[[#This Row],[Risk Score]]</f>
        <v/>
      </c>
      <c r="Q118" s="50"/>
      <c r="R118" s="50">
        <v>15.4</v>
      </c>
      <c r="S118" s="15" t="s">
        <v>200</v>
      </c>
      <c r="T118" s="15" t="s">
        <v>391</v>
      </c>
      <c r="U118" s="26"/>
      <c r="V118" s="16"/>
      <c r="W118" s="23" t="str">
        <f>IFERROR(VLOOKUP(10*tblRiskRegister32[[#This Row],[Risk Treatment Safeguard Maturity Score]]+tblRiskRegister32[[#This Row],[VCDB Index]],tblHITIndexWeightTable[],4,FALSE),"")</f>
        <v/>
      </c>
      <c r="X118" s="23">
        <f>VLOOKUP(tblRiskRegister32[[#This Row],[Asset Class]],tblInherentImpacts30[],2,FALSE)</f>
        <v>5</v>
      </c>
      <c r="Y118" s="23">
        <f>VLOOKUP(tblRiskRegister32[[#This Row],[Asset Class]],tblInherentImpacts30[],3,FALSE)</f>
        <v>5</v>
      </c>
      <c r="Z118" s="23">
        <f>VLOOKUP(tblRiskRegister32[[#This Row],[Asset Class]],tblInherentImpacts30[],3,FALSE)</f>
        <v>5</v>
      </c>
      <c r="AA118" s="23">
        <f>VLOOKUP(tblRiskRegister32[[#This Row],[Asset Class]],tblInherentImpacts30[],4,FALSE)</f>
        <v>1</v>
      </c>
      <c r="AB118" s="23" t="str">
        <f>IFERROR(MAX(tblRiskRegister32[[#This Row],[Risk Treatment Safeguard Impact to Mission]:[Risk Treatment Safeguard Impact to Obligations]])*tblRiskRegister32[[#This Row],[Risk Treatment
Safeguard Expectancy Score]],"")</f>
        <v/>
      </c>
      <c r="AC118" s="23" t="str">
        <f>IF(tblRiskRegister32[[#This Row],[Risk Score]]&gt;AcceptableRisk,IF(tblRiskRegister32[[#This Row],[Risk Treatment Safeguard Risk Score]]&lt;AcceptableRisk, IF(tblRiskRegister32[[#This Row],[Risk Treatment Safeguard Risk Score]]&lt;=tblRiskRegister32[[#This Row],[Risk Score]],"Yes","No"),"No"),"Yes")</f>
        <v>No</v>
      </c>
      <c r="AD118" s="17"/>
      <c r="AE118" s="17"/>
      <c r="AF118" s="18"/>
    </row>
    <row r="119" spans="2:32" ht="70" hidden="1">
      <c r="B119" s="15" t="s">
        <v>92</v>
      </c>
      <c r="C119" s="50"/>
      <c r="D119" s="50">
        <v>16.100000000000001</v>
      </c>
      <c r="E119" s="14" t="s">
        <v>167</v>
      </c>
      <c r="F119" s="15"/>
      <c r="G119" s="15"/>
      <c r="H119" s="16"/>
      <c r="I119" s="24">
        <f>IFERROR(VLOOKUP(tblRiskRegister32[[#This Row],[Asset Class]],tblVCDBIndex[],4,FALSE),"")</f>
        <v>2</v>
      </c>
      <c r="J119" s="24" t="str">
        <f>IFERROR(VLOOKUP(10*tblRiskRegister32[[#This Row],[Safeguard Maturity Score]]+tblRiskRegister32[[#This Row],[VCDB Index]],tblHITIndexWeightTable[],4,FALSE),"")</f>
        <v/>
      </c>
      <c r="K119" s="24">
        <f>VLOOKUP(tblRiskRegister32[[#This Row],[Asset Class]],tblInherentImpacts30[],2,FALSE)</f>
        <v>3</v>
      </c>
      <c r="L119" s="24">
        <f>VLOOKUP(tblRiskRegister32[[#This Row],[Asset Class]],tblInherentImpacts30[],3,FALSE)</f>
        <v>4</v>
      </c>
      <c r="M119" s="24">
        <f>VLOOKUP(tblRiskRegister32[[#This Row],[Asset Class]],tblInherentImpacts30[],4,FALSE)</f>
        <v>1</v>
      </c>
      <c r="N119" s="24">
        <f>VLOOKUP(tblRiskRegister32[[#This Row],[Asset Class]],tblInherentImpacts30[],5,FALSE)</f>
        <v>4</v>
      </c>
      <c r="O119" s="24" t="str">
        <f>IFERROR(MAX(tblRiskRegister32[[#This Row],[Impact to Mission]:[Impact to Obligations]])*tblRiskRegister32[[#This Row],[Expectancy Score]],"")</f>
        <v/>
      </c>
      <c r="P119" s="24" t="str">
        <f>tblRiskRegister32[[#This Row],[Risk Score]]</f>
        <v/>
      </c>
      <c r="Q119" s="50"/>
      <c r="R119" s="50">
        <v>16.100000000000001</v>
      </c>
      <c r="S119" s="15" t="s">
        <v>167</v>
      </c>
      <c r="T119" s="15" t="s">
        <v>392</v>
      </c>
      <c r="U119" s="15"/>
      <c r="V119" s="16"/>
      <c r="W119" s="23" t="str">
        <f>IFERROR(VLOOKUP(10*tblRiskRegister32[[#This Row],[Risk Treatment Safeguard Maturity Score]]+tblRiskRegister32[[#This Row],[VCDB Index]],tblHITIndexWeightTable[],4,FALSE),"")</f>
        <v/>
      </c>
      <c r="X119" s="23">
        <f>VLOOKUP(tblRiskRegister32[[#This Row],[Asset Class]],tblInherentImpacts30[],2,FALSE)</f>
        <v>3</v>
      </c>
      <c r="Y119" s="23">
        <f>VLOOKUP(tblRiskRegister32[[#This Row],[Asset Class]],tblInherentImpacts30[],3,FALSE)</f>
        <v>4</v>
      </c>
      <c r="Z119" s="23">
        <f>VLOOKUP(tblRiskRegister32[[#This Row],[Asset Class]],tblInherentImpacts30[],3,FALSE)</f>
        <v>4</v>
      </c>
      <c r="AA119" s="23">
        <f>VLOOKUP(tblRiskRegister32[[#This Row],[Asset Class]],tblInherentImpacts30[],4,FALSE)</f>
        <v>1</v>
      </c>
      <c r="AB119" s="23" t="str">
        <f>IFERROR(MAX(tblRiskRegister32[[#This Row],[Risk Treatment Safeguard Impact to Mission]:[Risk Treatment Safeguard Impact to Obligations]])*tblRiskRegister32[[#This Row],[Risk Treatment
Safeguard Expectancy Score]],"")</f>
        <v/>
      </c>
      <c r="AC119" s="23" t="str">
        <f>IF(tblRiskRegister32[[#This Row],[Risk Score]]&gt;AcceptableRisk,IF(tblRiskRegister32[[#This Row],[Risk Treatment Safeguard Risk Score]]&lt;AcceptableRisk, IF(tblRiskRegister32[[#This Row],[Risk Treatment Safeguard Risk Score]]&lt;=tblRiskRegister32[[#This Row],[Risk Score]],"Yes","No"),"No"),"Yes")</f>
        <v>No</v>
      </c>
      <c r="AD119" s="17"/>
      <c r="AE119" s="17"/>
      <c r="AF119" s="18"/>
    </row>
    <row r="120" spans="2:32" ht="112" hidden="1">
      <c r="B120" s="15" t="s">
        <v>92</v>
      </c>
      <c r="C120" s="50"/>
      <c r="D120" s="174">
        <v>16.100000000000001</v>
      </c>
      <c r="E120" s="14" t="s">
        <v>175</v>
      </c>
      <c r="F120" s="15"/>
      <c r="G120" s="15"/>
      <c r="H120" s="16"/>
      <c r="I120" s="24">
        <f>IFERROR(VLOOKUP(tblRiskRegister32[[#This Row],[Asset Class]],tblVCDBIndex[],4,FALSE),"")</f>
        <v>2</v>
      </c>
      <c r="J120" s="24" t="str">
        <f>IFERROR(VLOOKUP(10*tblRiskRegister32[[#This Row],[Safeguard Maturity Score]]+tblRiskRegister32[[#This Row],[VCDB Index]],tblHITIndexWeightTable[],4,FALSE),"")</f>
        <v/>
      </c>
      <c r="K120" s="24">
        <f>VLOOKUP(tblRiskRegister32[[#This Row],[Asset Class]],tblInherentImpacts30[],2,FALSE)</f>
        <v>3</v>
      </c>
      <c r="L120" s="24">
        <f>VLOOKUP(tblRiskRegister32[[#This Row],[Asset Class]],tblInherentImpacts30[],3,FALSE)</f>
        <v>4</v>
      </c>
      <c r="M120" s="24">
        <f>VLOOKUP(tblRiskRegister32[[#This Row],[Asset Class]],tblInherentImpacts30[],4,FALSE)</f>
        <v>1</v>
      </c>
      <c r="N120" s="24">
        <f>VLOOKUP(tblRiskRegister32[[#This Row],[Asset Class]],tblInherentImpacts30[],5,FALSE)</f>
        <v>4</v>
      </c>
      <c r="O120" s="24" t="str">
        <f>IFERROR(MAX(tblRiskRegister32[[#This Row],[Impact to Mission]:[Impact to Obligations]])*tblRiskRegister32[[#This Row],[Expectancy Score]],"")</f>
        <v/>
      </c>
      <c r="P120" s="24" t="str">
        <f>tblRiskRegister32[[#This Row],[Risk Score]]</f>
        <v/>
      </c>
      <c r="Q120" s="50"/>
      <c r="R120" s="50">
        <v>16.100000000000001</v>
      </c>
      <c r="S120" s="15" t="s">
        <v>175</v>
      </c>
      <c r="T120" s="15" t="s">
        <v>401</v>
      </c>
      <c r="U120" s="15"/>
      <c r="V120" s="16"/>
      <c r="W120" s="23" t="str">
        <f>IFERROR(VLOOKUP(10*tblRiskRegister32[[#This Row],[Risk Treatment Safeguard Maturity Score]]+tblRiskRegister32[[#This Row],[VCDB Index]],tblHITIndexWeightTable[],4,FALSE),"")</f>
        <v/>
      </c>
      <c r="X120" s="23">
        <f>VLOOKUP(tblRiskRegister32[[#This Row],[Asset Class]],tblInherentImpacts30[],2,FALSE)</f>
        <v>3</v>
      </c>
      <c r="Y120" s="23">
        <f>VLOOKUP(tblRiskRegister32[[#This Row],[Asset Class]],tblInherentImpacts30[],3,FALSE)</f>
        <v>4</v>
      </c>
      <c r="Z120" s="23">
        <f>VLOOKUP(tblRiskRegister32[[#This Row],[Asset Class]],tblInherentImpacts30[],3,FALSE)</f>
        <v>4</v>
      </c>
      <c r="AA120" s="23">
        <f>VLOOKUP(tblRiskRegister32[[#This Row],[Asset Class]],tblInherentImpacts30[],4,FALSE)</f>
        <v>1</v>
      </c>
      <c r="AB120" s="23" t="str">
        <f>IFERROR(MAX(tblRiskRegister32[[#This Row],[Risk Treatment Safeguard Impact to Mission]:[Risk Treatment Safeguard Impact to Obligations]])*tblRiskRegister32[[#This Row],[Risk Treatment
Safeguard Expectancy Score]],"")</f>
        <v/>
      </c>
      <c r="AC120" s="23" t="str">
        <f>IF(tblRiskRegister32[[#This Row],[Risk Score]]&gt;AcceptableRisk,IF(tblRiskRegister32[[#This Row],[Risk Treatment Safeguard Risk Score]]&lt;AcceptableRisk, IF(tblRiskRegister32[[#This Row],[Risk Treatment Safeguard Risk Score]]&lt;=tblRiskRegister32[[#This Row],[Risk Score]],"Yes","No"),"No"),"Yes")</f>
        <v>No</v>
      </c>
      <c r="AD120" s="17"/>
      <c r="AE120" s="17"/>
      <c r="AF120" s="18"/>
    </row>
    <row r="121" spans="2:32" ht="112" hidden="1">
      <c r="B121" s="15" t="s">
        <v>92</v>
      </c>
      <c r="C121" s="50"/>
      <c r="D121" s="50">
        <v>16.11</v>
      </c>
      <c r="E121" s="14" t="s">
        <v>176</v>
      </c>
      <c r="F121" s="15"/>
      <c r="G121" s="15"/>
      <c r="H121" s="16"/>
      <c r="I121" s="24">
        <f>IFERROR(VLOOKUP(tblRiskRegister32[[#This Row],[Asset Class]],tblVCDBIndex[],4,FALSE),"")</f>
        <v>2</v>
      </c>
      <c r="J121" s="24" t="str">
        <f>IFERROR(VLOOKUP(10*tblRiskRegister32[[#This Row],[Safeguard Maturity Score]]+tblRiskRegister32[[#This Row],[VCDB Index]],tblHITIndexWeightTable[],4,FALSE),"")</f>
        <v/>
      </c>
      <c r="K121" s="24">
        <f>VLOOKUP(tblRiskRegister32[[#This Row],[Asset Class]],tblInherentImpacts30[],2,FALSE)</f>
        <v>3</v>
      </c>
      <c r="L121" s="24">
        <f>VLOOKUP(tblRiskRegister32[[#This Row],[Asset Class]],tblInherentImpacts30[],3,FALSE)</f>
        <v>4</v>
      </c>
      <c r="M121" s="24">
        <f>VLOOKUP(tblRiskRegister32[[#This Row],[Asset Class]],tblInherentImpacts30[],4,FALSE)</f>
        <v>1</v>
      </c>
      <c r="N121" s="24">
        <f>VLOOKUP(tblRiskRegister32[[#This Row],[Asset Class]],tblInherentImpacts30[],5,FALSE)</f>
        <v>4</v>
      </c>
      <c r="O121" s="24" t="str">
        <f>IFERROR(MAX(tblRiskRegister32[[#This Row],[Impact to Mission]:[Impact to Obligations]])*tblRiskRegister32[[#This Row],[Expectancy Score]],"")</f>
        <v/>
      </c>
      <c r="P121" s="24" t="str">
        <f>tblRiskRegister32[[#This Row],[Risk Score]]</f>
        <v/>
      </c>
      <c r="Q121" s="50"/>
      <c r="R121" s="50">
        <v>16.11</v>
      </c>
      <c r="S121" s="15" t="s">
        <v>176</v>
      </c>
      <c r="T121" s="15" t="s">
        <v>402</v>
      </c>
      <c r="U121" s="15"/>
      <c r="V121" s="16"/>
      <c r="W121" s="23" t="str">
        <f>IFERROR(VLOOKUP(10*tblRiskRegister32[[#This Row],[Risk Treatment Safeguard Maturity Score]]+tblRiskRegister32[[#This Row],[VCDB Index]],tblHITIndexWeightTable[],4,FALSE),"")</f>
        <v/>
      </c>
      <c r="X121" s="23">
        <f>VLOOKUP(tblRiskRegister32[[#This Row],[Asset Class]],tblInherentImpacts30[],2,FALSE)</f>
        <v>3</v>
      </c>
      <c r="Y121" s="23">
        <f>VLOOKUP(tblRiskRegister32[[#This Row],[Asset Class]],tblInherentImpacts30[],3,FALSE)</f>
        <v>4</v>
      </c>
      <c r="Z121" s="23">
        <f>VLOOKUP(tblRiskRegister32[[#This Row],[Asset Class]],tblInherentImpacts30[],3,FALSE)</f>
        <v>4</v>
      </c>
      <c r="AA121" s="23">
        <f>VLOOKUP(tblRiskRegister32[[#This Row],[Asset Class]],tblInherentImpacts30[],4,FALSE)</f>
        <v>1</v>
      </c>
      <c r="AB121" s="23" t="str">
        <f>IFERROR(MAX(tblRiskRegister32[[#This Row],[Risk Treatment Safeguard Impact to Mission]:[Risk Treatment Safeguard Impact to Obligations]])*tblRiskRegister32[[#This Row],[Risk Treatment
Safeguard Expectancy Score]],"")</f>
        <v/>
      </c>
      <c r="AC121" s="23" t="str">
        <f>IF(tblRiskRegister32[[#This Row],[Risk Score]]&gt;AcceptableRisk,IF(tblRiskRegister32[[#This Row],[Risk Treatment Safeguard Risk Score]]&lt;AcceptableRisk, IF(tblRiskRegister32[[#This Row],[Risk Treatment Safeguard Risk Score]]&lt;=tblRiskRegister32[[#This Row],[Risk Score]],"Yes","No"),"No"),"Yes")</f>
        <v>No</v>
      </c>
      <c r="AD121" s="17"/>
      <c r="AE121" s="17"/>
      <c r="AF121" s="18"/>
    </row>
    <row r="122" spans="2:32" ht="163.5" customHeight="1">
      <c r="B122" s="15" t="s">
        <v>92</v>
      </c>
      <c r="C122" s="50" t="s">
        <v>520</v>
      </c>
      <c r="D122" s="50">
        <v>16.2</v>
      </c>
      <c r="E122" s="14" t="s">
        <v>168</v>
      </c>
      <c r="F122" s="15" t="s">
        <v>569</v>
      </c>
      <c r="G122" s="15" t="s">
        <v>575</v>
      </c>
      <c r="H122" s="16">
        <v>4</v>
      </c>
      <c r="I122" s="24">
        <f>IFERROR(VLOOKUP(tblRiskRegister32[[#This Row],[Asset Class]],tblVCDBIndex[],4,FALSE),"")</f>
        <v>2</v>
      </c>
      <c r="J122" s="24">
        <f>IFERROR(VLOOKUP(10*tblRiskRegister32[[#This Row],[Safeguard Maturity Score]]+tblRiskRegister32[[#This Row],[VCDB Index]],tblHITIndexWeightTable[],4,FALSE),"")</f>
        <v>2</v>
      </c>
      <c r="K122" s="24">
        <f>VLOOKUP(tblRiskRegister32[[#This Row],[Asset Class]],tblInherentImpacts30[],2,FALSE)</f>
        <v>3</v>
      </c>
      <c r="L122" s="24">
        <f>VLOOKUP(tblRiskRegister32[[#This Row],[Asset Class]],tblInherentImpacts30[],3,FALSE)</f>
        <v>4</v>
      </c>
      <c r="M122" s="24">
        <f>VLOOKUP(tblRiskRegister32[[#This Row],[Asset Class]],tblInherentImpacts30[],4,FALSE)</f>
        <v>1</v>
      </c>
      <c r="N122" s="24">
        <f>VLOOKUP(tblRiskRegister32[[#This Row],[Asset Class]],tblInherentImpacts30[],5,FALSE)</f>
        <v>4</v>
      </c>
      <c r="O122" s="24">
        <f>IFERROR(MAX(tblRiskRegister32[[#This Row],[Impact to Mission]:[Impact to Obligations]])*tblRiskRegister32[[#This Row],[Expectancy Score]],"")</f>
        <v>8</v>
      </c>
      <c r="P122" s="24">
        <f>tblRiskRegister32[[#This Row],[Risk Score]]</f>
        <v>8</v>
      </c>
      <c r="Q122" s="50" t="s">
        <v>449</v>
      </c>
      <c r="R122" s="50">
        <v>16.2</v>
      </c>
      <c r="S122" s="15" t="s">
        <v>168</v>
      </c>
      <c r="T122" s="15" t="s">
        <v>393</v>
      </c>
      <c r="U122" s="15"/>
      <c r="V122" s="16"/>
      <c r="W122" s="23" t="str">
        <f>IFERROR(VLOOKUP(10*tblRiskRegister32[[#This Row],[Risk Treatment Safeguard Maturity Score]]+tblRiskRegister32[[#This Row],[VCDB Index]],tblHITIndexWeightTable[],4,FALSE),"")</f>
        <v/>
      </c>
      <c r="X122" s="23">
        <f>VLOOKUP(tblRiskRegister32[[#This Row],[Asset Class]],tblInherentImpacts30[],2,FALSE)</f>
        <v>3</v>
      </c>
      <c r="Y122" s="23">
        <f>VLOOKUP(tblRiskRegister32[[#This Row],[Asset Class]],tblInherentImpacts30[],3,FALSE)</f>
        <v>4</v>
      </c>
      <c r="Z122" s="23">
        <f>VLOOKUP(tblRiskRegister32[[#This Row],[Asset Class]],tblInherentImpacts30[],3,FALSE)</f>
        <v>4</v>
      </c>
      <c r="AA122" s="23">
        <f>VLOOKUP(tblRiskRegister32[[#This Row],[Asset Class]],tblInherentImpacts30[],4,FALSE)</f>
        <v>1</v>
      </c>
      <c r="AB122" s="23" t="str">
        <f>IFERROR(MAX(tblRiskRegister32[[#This Row],[Risk Treatment Safeguard Impact to Mission]:[Risk Treatment Safeguard Impact to Obligations]])*tblRiskRegister32[[#This Row],[Risk Treatment
Safeguard Expectancy Score]],"")</f>
        <v/>
      </c>
      <c r="AC122" s="23" t="str">
        <f>IF(tblRiskRegister32[[#This Row],[Risk Score]]&gt;AcceptableRisk,IF(tblRiskRegister32[[#This Row],[Risk Treatment Safeguard Risk Score]]&lt;AcceptableRisk, IF(tblRiskRegister32[[#This Row],[Risk Treatment Safeguard Risk Score]]&lt;=tblRiskRegister32[[#This Row],[Risk Score]],"Yes","No"),"No"),"Yes")</f>
        <v>Yes</v>
      </c>
      <c r="AD122" s="17"/>
      <c r="AE122" s="17"/>
      <c r="AF122" s="18"/>
    </row>
    <row r="123" spans="2:32" ht="56">
      <c r="B123" s="15" t="s">
        <v>92</v>
      </c>
      <c r="C123" s="50" t="s">
        <v>520</v>
      </c>
      <c r="D123" s="50">
        <v>16.3</v>
      </c>
      <c r="E123" s="14" t="s">
        <v>169</v>
      </c>
      <c r="F123" s="15" t="s">
        <v>542</v>
      </c>
      <c r="G123" s="15" t="s">
        <v>582</v>
      </c>
      <c r="H123" s="16">
        <v>1</v>
      </c>
      <c r="I123" s="24">
        <f>IFERROR(VLOOKUP(tblRiskRegister32[[#This Row],[Asset Class]],tblVCDBIndex[],4,FALSE),"")</f>
        <v>2</v>
      </c>
      <c r="J123" s="24">
        <f>IFERROR(VLOOKUP(10*tblRiskRegister32[[#This Row],[Safeguard Maturity Score]]+tblRiskRegister32[[#This Row],[VCDB Index]],tblHITIndexWeightTable[],4,FALSE),"")</f>
        <v>4</v>
      </c>
      <c r="K123" s="24">
        <f>VLOOKUP(tblRiskRegister32[[#This Row],[Asset Class]],tblInherentImpacts30[],2,FALSE)</f>
        <v>3</v>
      </c>
      <c r="L123" s="24">
        <f>VLOOKUP(tblRiskRegister32[[#This Row],[Asset Class]],tblInherentImpacts30[],3,FALSE)</f>
        <v>4</v>
      </c>
      <c r="M123" s="24">
        <f>VLOOKUP(tblRiskRegister32[[#This Row],[Asset Class]],tblInherentImpacts30[],4,FALSE)</f>
        <v>1</v>
      </c>
      <c r="N123" s="24">
        <f>VLOOKUP(tblRiskRegister32[[#This Row],[Asset Class]],tblInherentImpacts30[],5,FALSE)</f>
        <v>4</v>
      </c>
      <c r="O123" s="24">
        <f>IFERROR(MAX(tblRiskRegister32[[#This Row],[Impact to Mission]:[Impact to Obligations]])*tblRiskRegister32[[#This Row],[Expectancy Score]],"")</f>
        <v>16</v>
      </c>
      <c r="P123" s="24">
        <f>tblRiskRegister32[[#This Row],[Risk Score]]</f>
        <v>16</v>
      </c>
      <c r="Q123" s="50" t="s">
        <v>448</v>
      </c>
      <c r="R123" s="50">
        <v>16.3</v>
      </c>
      <c r="S123" s="15" t="s">
        <v>169</v>
      </c>
      <c r="T123" s="15" t="s">
        <v>394</v>
      </c>
      <c r="U123" s="15"/>
      <c r="V123" s="16"/>
      <c r="W123" s="23" t="str">
        <f>IFERROR(VLOOKUP(10*tblRiskRegister32[[#This Row],[Risk Treatment Safeguard Maturity Score]]+tblRiskRegister32[[#This Row],[VCDB Index]],tblHITIndexWeightTable[],4,FALSE),"")</f>
        <v/>
      </c>
      <c r="X123" s="23">
        <f>VLOOKUP(tblRiskRegister32[[#This Row],[Asset Class]],tblInherentImpacts30[],2,FALSE)</f>
        <v>3</v>
      </c>
      <c r="Y123" s="23">
        <f>VLOOKUP(tblRiskRegister32[[#This Row],[Asset Class]],tblInherentImpacts30[],3,FALSE)</f>
        <v>4</v>
      </c>
      <c r="Z123" s="23">
        <f>VLOOKUP(tblRiskRegister32[[#This Row],[Asset Class]],tblInherentImpacts30[],3,FALSE)</f>
        <v>4</v>
      </c>
      <c r="AA123" s="23">
        <f>VLOOKUP(tblRiskRegister32[[#This Row],[Asset Class]],tblInherentImpacts30[],4,FALSE)</f>
        <v>1</v>
      </c>
      <c r="AB123" s="23" t="str">
        <f>IFERROR(MAX(tblRiskRegister32[[#This Row],[Risk Treatment Safeguard Impact to Mission]:[Risk Treatment Safeguard Impact to Obligations]])*tblRiskRegister32[[#This Row],[Risk Treatment
Safeguard Expectancy Score]],"")</f>
        <v/>
      </c>
      <c r="AC123" s="23" t="str">
        <f>IF(tblRiskRegister32[[#This Row],[Risk Score]]&gt;AcceptableRisk,IF(tblRiskRegister32[[#This Row],[Risk Treatment Safeguard Risk Score]]&lt;AcceptableRisk, IF(tblRiskRegister32[[#This Row],[Risk Treatment Safeguard Risk Score]]&lt;=tblRiskRegister32[[#This Row],[Risk Score]],"Yes","No"),"No"),"Yes")</f>
        <v>No</v>
      </c>
      <c r="AD123" s="17"/>
      <c r="AE123" s="17"/>
      <c r="AF123" s="18"/>
    </row>
    <row r="124" spans="2:32" ht="70" hidden="1">
      <c r="B124" s="15" t="s">
        <v>92</v>
      </c>
      <c r="C124" s="50"/>
      <c r="D124" s="50">
        <v>16.399999999999999</v>
      </c>
      <c r="E124" s="14" t="s">
        <v>233</v>
      </c>
      <c r="F124" s="15"/>
      <c r="G124" s="15"/>
      <c r="H124" s="16"/>
      <c r="I124" s="24">
        <f>IFERROR(VLOOKUP(tblRiskRegister32[[#This Row],[Asset Class]],tblVCDBIndex[],4,FALSE),"")</f>
        <v>2</v>
      </c>
      <c r="J124" s="24" t="str">
        <f>IFERROR(VLOOKUP(10*tblRiskRegister32[[#This Row],[Safeguard Maturity Score]]+tblRiskRegister32[[#This Row],[VCDB Index]],tblHITIndexWeightTable[],4,FALSE),"")</f>
        <v/>
      </c>
      <c r="K124" s="24">
        <f>VLOOKUP(tblRiskRegister32[[#This Row],[Asset Class]],tblInherentImpacts30[],2,FALSE)</f>
        <v>3</v>
      </c>
      <c r="L124" s="24">
        <f>VLOOKUP(tblRiskRegister32[[#This Row],[Asset Class]],tblInherentImpacts30[],3,FALSE)</f>
        <v>4</v>
      </c>
      <c r="M124" s="24">
        <f>VLOOKUP(tblRiskRegister32[[#This Row],[Asset Class]],tblInherentImpacts30[],4,FALSE)</f>
        <v>1</v>
      </c>
      <c r="N124" s="24">
        <f>VLOOKUP(tblRiskRegister32[[#This Row],[Asset Class]],tblInherentImpacts30[],5,FALSE)</f>
        <v>4</v>
      </c>
      <c r="O124" s="24" t="str">
        <f>IFERROR(MAX(tblRiskRegister32[[#This Row],[Impact to Mission]:[Impact to Obligations]])*tblRiskRegister32[[#This Row],[Expectancy Score]],"")</f>
        <v/>
      </c>
      <c r="P124" s="24" t="str">
        <f>tblRiskRegister32[[#This Row],[Risk Score]]</f>
        <v/>
      </c>
      <c r="Q124" s="50"/>
      <c r="R124" s="50">
        <v>16.399999999999999</v>
      </c>
      <c r="S124" s="15" t="s">
        <v>233</v>
      </c>
      <c r="T124" s="15" t="s">
        <v>395</v>
      </c>
      <c r="U124" s="15"/>
      <c r="V124" s="16"/>
      <c r="W124" s="23" t="str">
        <f>IFERROR(VLOOKUP(10*tblRiskRegister32[[#This Row],[Risk Treatment Safeguard Maturity Score]]+tblRiskRegister32[[#This Row],[VCDB Index]],tblHITIndexWeightTable[],4,FALSE),"")</f>
        <v/>
      </c>
      <c r="X124" s="23">
        <f>VLOOKUP(tblRiskRegister32[[#This Row],[Asset Class]],tblInherentImpacts30[],2,FALSE)</f>
        <v>3</v>
      </c>
      <c r="Y124" s="23">
        <f>VLOOKUP(tblRiskRegister32[[#This Row],[Asset Class]],tblInherentImpacts30[],3,FALSE)</f>
        <v>4</v>
      </c>
      <c r="Z124" s="23">
        <f>VLOOKUP(tblRiskRegister32[[#This Row],[Asset Class]],tblInherentImpacts30[],3,FALSE)</f>
        <v>4</v>
      </c>
      <c r="AA124" s="23">
        <f>VLOOKUP(tblRiskRegister32[[#This Row],[Asset Class]],tblInherentImpacts30[],4,FALSE)</f>
        <v>1</v>
      </c>
      <c r="AB124" s="23" t="str">
        <f>IFERROR(MAX(tblRiskRegister32[[#This Row],[Risk Treatment Safeguard Impact to Mission]:[Risk Treatment Safeguard Impact to Obligations]])*tblRiskRegister32[[#This Row],[Risk Treatment
Safeguard Expectancy Score]],"")</f>
        <v/>
      </c>
      <c r="AC124" s="23" t="str">
        <f>IF(tblRiskRegister32[[#This Row],[Risk Score]]&gt;AcceptableRisk,IF(tblRiskRegister32[[#This Row],[Risk Treatment Safeguard Risk Score]]&lt;AcceptableRisk, IF(tblRiskRegister32[[#This Row],[Risk Treatment Safeguard Risk Score]]&lt;=tblRiskRegister32[[#This Row],[Risk Score]],"Yes","No"),"No"),"Yes")</f>
        <v>No</v>
      </c>
      <c r="AD124" s="17"/>
      <c r="AE124" s="17"/>
      <c r="AF124" s="18"/>
    </row>
    <row r="125" spans="2:32" ht="56" hidden="1">
      <c r="B125" s="15" t="s">
        <v>92</v>
      </c>
      <c r="C125" s="50"/>
      <c r="D125" s="50">
        <v>16.5</v>
      </c>
      <c r="E125" s="14" t="s">
        <v>170</v>
      </c>
      <c r="F125" s="15"/>
      <c r="G125" s="15"/>
      <c r="H125" s="16"/>
      <c r="I125" s="24">
        <f>IFERROR(VLOOKUP(tblRiskRegister32[[#This Row],[Asset Class]],tblVCDBIndex[],4,FALSE),"")</f>
        <v>2</v>
      </c>
      <c r="J125" s="24" t="str">
        <f>IFERROR(VLOOKUP(10*tblRiskRegister32[[#This Row],[Safeguard Maturity Score]]+tblRiskRegister32[[#This Row],[VCDB Index]],tblHITIndexWeightTable[],4,FALSE),"")</f>
        <v/>
      </c>
      <c r="K125" s="24">
        <f>VLOOKUP(tblRiskRegister32[[#This Row],[Asset Class]],tblInherentImpacts30[],2,FALSE)</f>
        <v>3</v>
      </c>
      <c r="L125" s="24">
        <f>VLOOKUP(tblRiskRegister32[[#This Row],[Asset Class]],tblInherentImpacts30[],3,FALSE)</f>
        <v>4</v>
      </c>
      <c r="M125" s="24">
        <f>VLOOKUP(tblRiskRegister32[[#This Row],[Asset Class]],tblInherentImpacts30[],4,FALSE)</f>
        <v>1</v>
      </c>
      <c r="N125" s="24">
        <f>VLOOKUP(tblRiskRegister32[[#This Row],[Asset Class]],tblInherentImpacts30[],5,FALSE)</f>
        <v>4</v>
      </c>
      <c r="O125" s="24" t="str">
        <f>IFERROR(MAX(tblRiskRegister32[[#This Row],[Impact to Mission]:[Impact to Obligations]])*tblRiskRegister32[[#This Row],[Expectancy Score]],"")</f>
        <v/>
      </c>
      <c r="P125" s="24" t="str">
        <f>tblRiskRegister32[[#This Row],[Risk Score]]</f>
        <v/>
      </c>
      <c r="Q125" s="50"/>
      <c r="R125" s="50">
        <v>16.5</v>
      </c>
      <c r="S125" s="15" t="s">
        <v>170</v>
      </c>
      <c r="T125" s="15" t="s">
        <v>396</v>
      </c>
      <c r="U125" s="15"/>
      <c r="V125" s="16"/>
      <c r="W125" s="23" t="str">
        <f>IFERROR(VLOOKUP(10*tblRiskRegister32[[#This Row],[Risk Treatment Safeguard Maturity Score]]+tblRiskRegister32[[#This Row],[VCDB Index]],tblHITIndexWeightTable[],4,FALSE),"")</f>
        <v/>
      </c>
      <c r="X125" s="23">
        <f>VLOOKUP(tblRiskRegister32[[#This Row],[Asset Class]],tblInherentImpacts30[],2,FALSE)</f>
        <v>3</v>
      </c>
      <c r="Y125" s="23">
        <f>VLOOKUP(tblRiskRegister32[[#This Row],[Asset Class]],tblInherentImpacts30[],3,FALSE)</f>
        <v>4</v>
      </c>
      <c r="Z125" s="23">
        <f>VLOOKUP(tblRiskRegister32[[#This Row],[Asset Class]],tblInherentImpacts30[],3,FALSE)</f>
        <v>4</v>
      </c>
      <c r="AA125" s="23">
        <f>VLOOKUP(tblRiskRegister32[[#This Row],[Asset Class]],tblInherentImpacts30[],4,FALSE)</f>
        <v>1</v>
      </c>
      <c r="AB125" s="23" t="str">
        <f>IFERROR(MAX(tblRiskRegister32[[#This Row],[Risk Treatment Safeguard Impact to Mission]:[Risk Treatment Safeguard Impact to Obligations]])*tblRiskRegister32[[#This Row],[Risk Treatment
Safeguard Expectancy Score]],"")</f>
        <v/>
      </c>
      <c r="AC125" s="23" t="str">
        <f>IF(tblRiskRegister32[[#This Row],[Risk Score]]&gt;AcceptableRisk,IF(tblRiskRegister32[[#This Row],[Risk Treatment Safeguard Risk Score]]&lt;AcceptableRisk, IF(tblRiskRegister32[[#This Row],[Risk Treatment Safeguard Risk Score]]&lt;=tblRiskRegister32[[#This Row],[Risk Score]],"Yes","No"),"No"),"Yes")</f>
        <v>No</v>
      </c>
      <c r="AD125" s="17"/>
      <c r="AE125" s="17"/>
      <c r="AF125" s="18"/>
    </row>
    <row r="126" spans="2:32" ht="84" hidden="1">
      <c r="B126" s="15" t="s">
        <v>92</v>
      </c>
      <c r="C126" s="50"/>
      <c r="D126" s="50">
        <v>16.600000000000001</v>
      </c>
      <c r="E126" s="14" t="s">
        <v>171</v>
      </c>
      <c r="F126" s="15"/>
      <c r="G126" s="15"/>
      <c r="H126" s="16"/>
      <c r="I126" s="24">
        <f>IFERROR(VLOOKUP(tblRiskRegister32[[#This Row],[Asset Class]],tblVCDBIndex[],4,FALSE),"")</f>
        <v>2</v>
      </c>
      <c r="J126" s="24" t="str">
        <f>IFERROR(VLOOKUP(10*tblRiskRegister32[[#This Row],[Safeguard Maturity Score]]+tblRiskRegister32[[#This Row],[VCDB Index]],tblHITIndexWeightTable[],4,FALSE),"")</f>
        <v/>
      </c>
      <c r="K126" s="24">
        <f>VLOOKUP(tblRiskRegister32[[#This Row],[Asset Class]],tblInherentImpacts30[],2,FALSE)</f>
        <v>3</v>
      </c>
      <c r="L126" s="24">
        <f>VLOOKUP(tblRiskRegister32[[#This Row],[Asset Class]],tblInherentImpacts30[],3,FALSE)</f>
        <v>4</v>
      </c>
      <c r="M126" s="24">
        <f>VLOOKUP(tblRiskRegister32[[#This Row],[Asset Class]],tblInherentImpacts30[],4,FALSE)</f>
        <v>1</v>
      </c>
      <c r="N126" s="24">
        <f>VLOOKUP(tblRiskRegister32[[#This Row],[Asset Class]],tblInherentImpacts30[],5,FALSE)</f>
        <v>4</v>
      </c>
      <c r="O126" s="24" t="str">
        <f>IFERROR(MAX(tblRiskRegister32[[#This Row],[Impact to Mission]:[Impact to Obligations]])*tblRiskRegister32[[#This Row],[Expectancy Score]],"")</f>
        <v/>
      </c>
      <c r="P126" s="24" t="str">
        <f>tblRiskRegister32[[#This Row],[Risk Score]]</f>
        <v/>
      </c>
      <c r="Q126" s="50"/>
      <c r="R126" s="50">
        <v>16.600000000000001</v>
      </c>
      <c r="S126" s="15" t="s">
        <v>171</v>
      </c>
      <c r="T126" s="15" t="s">
        <v>397</v>
      </c>
      <c r="U126" s="15"/>
      <c r="V126" s="16"/>
      <c r="W126" s="23" t="str">
        <f>IFERROR(VLOOKUP(10*tblRiskRegister32[[#This Row],[Risk Treatment Safeguard Maturity Score]]+tblRiskRegister32[[#This Row],[VCDB Index]],tblHITIndexWeightTable[],4,FALSE),"")</f>
        <v/>
      </c>
      <c r="X126" s="23">
        <f>VLOOKUP(tblRiskRegister32[[#This Row],[Asset Class]],tblInherentImpacts30[],2,FALSE)</f>
        <v>3</v>
      </c>
      <c r="Y126" s="23">
        <f>VLOOKUP(tblRiskRegister32[[#This Row],[Asset Class]],tblInherentImpacts30[],3,FALSE)</f>
        <v>4</v>
      </c>
      <c r="Z126" s="23">
        <f>VLOOKUP(tblRiskRegister32[[#This Row],[Asset Class]],tblInherentImpacts30[],3,FALSE)</f>
        <v>4</v>
      </c>
      <c r="AA126" s="23">
        <f>VLOOKUP(tblRiskRegister32[[#This Row],[Asset Class]],tblInherentImpacts30[],4,FALSE)</f>
        <v>1</v>
      </c>
      <c r="AB126" s="23" t="str">
        <f>IFERROR(MAX(tblRiskRegister32[[#This Row],[Risk Treatment Safeguard Impact to Mission]:[Risk Treatment Safeguard Impact to Obligations]])*tblRiskRegister32[[#This Row],[Risk Treatment
Safeguard Expectancy Score]],"")</f>
        <v/>
      </c>
      <c r="AC126" s="23" t="str">
        <f>IF(tblRiskRegister32[[#This Row],[Risk Score]]&gt;AcceptableRisk,IF(tblRiskRegister32[[#This Row],[Risk Treatment Safeguard Risk Score]]&lt;AcceptableRisk, IF(tblRiskRegister32[[#This Row],[Risk Treatment Safeguard Risk Score]]&lt;=tblRiskRegister32[[#This Row],[Risk Score]],"Yes","No"),"No"),"Yes")</f>
        <v>No</v>
      </c>
      <c r="AD126" s="17"/>
      <c r="AE126" s="17"/>
      <c r="AF126" s="18"/>
    </row>
    <row r="127" spans="2:32" ht="70" hidden="1">
      <c r="B127" s="15" t="s">
        <v>92</v>
      </c>
      <c r="C127" s="50"/>
      <c r="D127" s="50">
        <v>16.7</v>
      </c>
      <c r="E127" s="14" t="s">
        <v>172</v>
      </c>
      <c r="F127" s="15"/>
      <c r="G127" s="15"/>
      <c r="H127" s="16"/>
      <c r="I127" s="24">
        <f>IFERROR(VLOOKUP(tblRiskRegister32[[#This Row],[Asset Class]],tblVCDBIndex[],4,FALSE),"")</f>
        <v>2</v>
      </c>
      <c r="J127" s="24" t="str">
        <f>IFERROR(VLOOKUP(10*tblRiskRegister32[[#This Row],[Safeguard Maturity Score]]+tblRiskRegister32[[#This Row],[VCDB Index]],tblHITIndexWeightTable[],4,FALSE),"")</f>
        <v/>
      </c>
      <c r="K127" s="24">
        <f>VLOOKUP(tblRiskRegister32[[#This Row],[Asset Class]],tblInherentImpacts30[],2,FALSE)</f>
        <v>3</v>
      </c>
      <c r="L127" s="24">
        <f>VLOOKUP(tblRiskRegister32[[#This Row],[Asset Class]],tblInherentImpacts30[],3,FALSE)</f>
        <v>4</v>
      </c>
      <c r="M127" s="24">
        <f>VLOOKUP(tblRiskRegister32[[#This Row],[Asset Class]],tblInherentImpacts30[],4,FALSE)</f>
        <v>1</v>
      </c>
      <c r="N127" s="24">
        <f>VLOOKUP(tblRiskRegister32[[#This Row],[Asset Class]],tblInherentImpacts30[],5,FALSE)</f>
        <v>4</v>
      </c>
      <c r="O127" s="24" t="str">
        <f>IFERROR(MAX(tblRiskRegister32[[#This Row],[Impact to Mission]:[Impact to Obligations]])*tblRiskRegister32[[#This Row],[Expectancy Score]],"")</f>
        <v/>
      </c>
      <c r="P127" s="24" t="str">
        <f>tblRiskRegister32[[#This Row],[Risk Score]]</f>
        <v/>
      </c>
      <c r="Q127" s="50"/>
      <c r="R127" s="50">
        <v>16.7</v>
      </c>
      <c r="S127" s="15" t="s">
        <v>172</v>
      </c>
      <c r="T127" s="15" t="s">
        <v>398</v>
      </c>
      <c r="U127" s="15"/>
      <c r="V127" s="16"/>
      <c r="W127" s="23" t="str">
        <f>IFERROR(VLOOKUP(10*tblRiskRegister32[[#This Row],[Risk Treatment Safeguard Maturity Score]]+tblRiskRegister32[[#This Row],[VCDB Index]],tblHITIndexWeightTable[],4,FALSE),"")</f>
        <v/>
      </c>
      <c r="X127" s="23">
        <f>VLOOKUP(tblRiskRegister32[[#This Row],[Asset Class]],tblInherentImpacts30[],2,FALSE)</f>
        <v>3</v>
      </c>
      <c r="Y127" s="23">
        <f>VLOOKUP(tblRiskRegister32[[#This Row],[Asset Class]],tblInherentImpacts30[],3,FALSE)</f>
        <v>4</v>
      </c>
      <c r="Z127" s="23">
        <f>VLOOKUP(tblRiskRegister32[[#This Row],[Asset Class]],tblInherentImpacts30[],3,FALSE)</f>
        <v>4</v>
      </c>
      <c r="AA127" s="23">
        <f>VLOOKUP(tblRiskRegister32[[#This Row],[Asset Class]],tblInherentImpacts30[],4,FALSE)</f>
        <v>1</v>
      </c>
      <c r="AB127" s="23" t="str">
        <f>IFERROR(MAX(tblRiskRegister32[[#This Row],[Risk Treatment Safeguard Impact to Mission]:[Risk Treatment Safeguard Impact to Obligations]])*tblRiskRegister32[[#This Row],[Risk Treatment
Safeguard Expectancy Score]],"")</f>
        <v/>
      </c>
      <c r="AC127" s="23" t="str">
        <f>IF(tblRiskRegister32[[#This Row],[Risk Score]]&gt;AcceptableRisk,IF(tblRiskRegister32[[#This Row],[Risk Treatment Safeguard Risk Score]]&lt;AcceptableRisk, IF(tblRiskRegister32[[#This Row],[Risk Treatment Safeguard Risk Score]]&lt;=tblRiskRegister32[[#This Row],[Risk Score]],"Yes","No"),"No"),"Yes")</f>
        <v>No</v>
      </c>
      <c r="AD127" s="17"/>
      <c r="AE127" s="17"/>
      <c r="AF127" s="18"/>
    </row>
    <row r="128" spans="2:32" ht="63" hidden="1" customHeight="1">
      <c r="B128" s="15" t="s">
        <v>92</v>
      </c>
      <c r="C128" s="50"/>
      <c r="D128" s="50">
        <v>16.8</v>
      </c>
      <c r="E128" s="14" t="s">
        <v>173</v>
      </c>
      <c r="F128" s="15"/>
      <c r="G128" s="15"/>
      <c r="H128" s="16"/>
      <c r="I128" s="24">
        <f>IFERROR(VLOOKUP(tblRiskRegister32[[#This Row],[Asset Class]],tblVCDBIndex[],4,FALSE),"")</f>
        <v>2</v>
      </c>
      <c r="J128" s="24" t="str">
        <f>IFERROR(VLOOKUP(10*tblRiskRegister32[[#This Row],[Safeguard Maturity Score]]+tblRiskRegister32[[#This Row],[VCDB Index]],tblHITIndexWeightTable[],4,FALSE),"")</f>
        <v/>
      </c>
      <c r="K128" s="24">
        <f>VLOOKUP(tblRiskRegister32[[#This Row],[Asset Class]],tblInherentImpacts30[],2,FALSE)</f>
        <v>3</v>
      </c>
      <c r="L128" s="24">
        <f>VLOOKUP(tblRiskRegister32[[#This Row],[Asset Class]],tblInherentImpacts30[],3,FALSE)</f>
        <v>4</v>
      </c>
      <c r="M128" s="24">
        <f>VLOOKUP(tblRiskRegister32[[#This Row],[Asset Class]],tblInherentImpacts30[],4,FALSE)</f>
        <v>1</v>
      </c>
      <c r="N128" s="24">
        <f>VLOOKUP(tblRiskRegister32[[#This Row],[Asset Class]],tblInherentImpacts30[],5,FALSE)</f>
        <v>4</v>
      </c>
      <c r="O128" s="24" t="str">
        <f>IFERROR(MAX(tblRiskRegister32[[#This Row],[Impact to Mission]:[Impact to Obligations]])*tblRiskRegister32[[#This Row],[Expectancy Score]],"")</f>
        <v/>
      </c>
      <c r="P128" s="24" t="str">
        <f>tblRiskRegister32[[#This Row],[Risk Score]]</f>
        <v/>
      </c>
      <c r="Q128" s="50"/>
      <c r="R128" s="50">
        <v>16.8</v>
      </c>
      <c r="S128" s="15" t="s">
        <v>173</v>
      </c>
      <c r="T128" s="15" t="s">
        <v>399</v>
      </c>
      <c r="U128" s="15"/>
      <c r="V128" s="16"/>
      <c r="W128" s="23" t="str">
        <f>IFERROR(VLOOKUP(10*tblRiskRegister32[[#This Row],[Risk Treatment Safeguard Maturity Score]]+tblRiskRegister32[[#This Row],[VCDB Index]],tblHITIndexWeightTable[],4,FALSE),"")</f>
        <v/>
      </c>
      <c r="X128" s="23">
        <f>VLOOKUP(tblRiskRegister32[[#This Row],[Asset Class]],tblInherentImpacts30[],2,FALSE)</f>
        <v>3</v>
      </c>
      <c r="Y128" s="23">
        <f>VLOOKUP(tblRiskRegister32[[#This Row],[Asset Class]],tblInherentImpacts30[],3,FALSE)</f>
        <v>4</v>
      </c>
      <c r="Z128" s="23">
        <f>VLOOKUP(tblRiskRegister32[[#This Row],[Asset Class]],tblInherentImpacts30[],3,FALSE)</f>
        <v>4</v>
      </c>
      <c r="AA128" s="23">
        <f>VLOOKUP(tblRiskRegister32[[#This Row],[Asset Class]],tblInherentImpacts30[],4,FALSE)</f>
        <v>1</v>
      </c>
      <c r="AB128" s="23" t="str">
        <f>IFERROR(MAX(tblRiskRegister32[[#This Row],[Risk Treatment Safeguard Impact to Mission]:[Risk Treatment Safeguard Impact to Obligations]])*tblRiskRegister32[[#This Row],[Risk Treatment
Safeguard Expectancy Score]],"")</f>
        <v/>
      </c>
      <c r="AC128" s="23" t="str">
        <f>IF(tblRiskRegister32[[#This Row],[Risk Score]]&gt;AcceptableRisk,IF(tblRiskRegister32[[#This Row],[Risk Treatment Safeguard Risk Score]]&lt;AcceptableRisk, IF(tblRiskRegister32[[#This Row],[Risk Treatment Safeguard Risk Score]]&lt;=tblRiskRegister32[[#This Row],[Risk Score]],"Yes","No"),"No"),"Yes")</f>
        <v>No</v>
      </c>
      <c r="AD128" s="17"/>
      <c r="AE128" s="17"/>
      <c r="AF128" s="18"/>
    </row>
    <row r="129" spans="2:32" ht="70" hidden="1">
      <c r="B129" s="15" t="s">
        <v>92</v>
      </c>
      <c r="C129" s="50"/>
      <c r="D129" s="50">
        <v>16.899999999999999</v>
      </c>
      <c r="E129" s="14" t="s">
        <v>174</v>
      </c>
      <c r="F129" s="15"/>
      <c r="G129" s="15"/>
      <c r="H129" s="16"/>
      <c r="I129" s="24">
        <f>IFERROR(VLOOKUP(tblRiskRegister32[[#This Row],[Asset Class]],tblVCDBIndex[],4,FALSE),"")</f>
        <v>2</v>
      </c>
      <c r="J129" s="24" t="str">
        <f>IFERROR(VLOOKUP(10*tblRiskRegister32[[#This Row],[Safeguard Maturity Score]]+tblRiskRegister32[[#This Row],[VCDB Index]],tblHITIndexWeightTable[],4,FALSE),"")</f>
        <v/>
      </c>
      <c r="K129" s="24">
        <f>VLOOKUP(tblRiskRegister32[[#This Row],[Asset Class]],tblInherentImpacts30[],2,FALSE)</f>
        <v>3</v>
      </c>
      <c r="L129" s="24">
        <f>VLOOKUP(tblRiskRegister32[[#This Row],[Asset Class]],tblInherentImpacts30[],3,FALSE)</f>
        <v>4</v>
      </c>
      <c r="M129" s="24">
        <f>VLOOKUP(tblRiskRegister32[[#This Row],[Asset Class]],tblInherentImpacts30[],4,FALSE)</f>
        <v>1</v>
      </c>
      <c r="N129" s="24">
        <f>VLOOKUP(tblRiskRegister32[[#This Row],[Asset Class]],tblInherentImpacts30[],5,FALSE)</f>
        <v>4</v>
      </c>
      <c r="O129" s="24" t="str">
        <f>IFERROR(MAX(tblRiskRegister32[[#This Row],[Impact to Mission]:[Impact to Obligations]])*tblRiskRegister32[[#This Row],[Expectancy Score]],"")</f>
        <v/>
      </c>
      <c r="P129" s="24" t="str">
        <f>tblRiskRegister32[[#This Row],[Risk Score]]</f>
        <v/>
      </c>
      <c r="Q129" s="50"/>
      <c r="R129" s="50">
        <v>16.899999999999999</v>
      </c>
      <c r="S129" s="15" t="s">
        <v>174</v>
      </c>
      <c r="T129" s="15" t="s">
        <v>400</v>
      </c>
      <c r="U129" s="15"/>
      <c r="V129" s="16"/>
      <c r="W129" s="23" t="str">
        <f>IFERROR(VLOOKUP(10*tblRiskRegister32[[#This Row],[Risk Treatment Safeguard Maturity Score]]+tblRiskRegister32[[#This Row],[VCDB Index]],tblHITIndexWeightTable[],4,FALSE),"")</f>
        <v/>
      </c>
      <c r="X129" s="23">
        <f>VLOOKUP(tblRiskRegister32[[#This Row],[Asset Class]],tblInherentImpacts30[],2,FALSE)</f>
        <v>3</v>
      </c>
      <c r="Y129" s="23">
        <f>VLOOKUP(tblRiskRegister32[[#This Row],[Asset Class]],tblInherentImpacts30[],3,FALSE)</f>
        <v>4</v>
      </c>
      <c r="Z129" s="23">
        <f>VLOOKUP(tblRiskRegister32[[#This Row],[Asset Class]],tblInherentImpacts30[],3,FALSE)</f>
        <v>4</v>
      </c>
      <c r="AA129" s="23">
        <f>VLOOKUP(tblRiskRegister32[[#This Row],[Asset Class]],tblInherentImpacts30[],4,FALSE)</f>
        <v>1</v>
      </c>
      <c r="AB129" s="23" t="str">
        <f>IFERROR(MAX(tblRiskRegister32[[#This Row],[Risk Treatment Safeguard Impact to Mission]:[Risk Treatment Safeguard Impact to Obligations]])*tblRiskRegister32[[#This Row],[Risk Treatment
Safeguard Expectancy Score]],"")</f>
        <v/>
      </c>
      <c r="AC129" s="23" t="str">
        <f>IF(tblRiskRegister32[[#This Row],[Risk Score]]&gt;AcceptableRisk,IF(tblRiskRegister32[[#This Row],[Risk Treatment Safeguard Risk Score]]&lt;AcceptableRisk, IF(tblRiskRegister32[[#This Row],[Risk Treatment Safeguard Risk Score]]&lt;=tblRiskRegister32[[#This Row],[Risk Score]],"Yes","No"),"No"),"Yes")</f>
        <v>No</v>
      </c>
      <c r="AD129" s="17"/>
      <c r="AE129" s="17"/>
      <c r="AF129" s="18"/>
    </row>
    <row r="130" spans="2:32" ht="98">
      <c r="B130" s="15" t="s">
        <v>95</v>
      </c>
      <c r="C130" s="50" t="s">
        <v>520</v>
      </c>
      <c r="D130" s="50">
        <v>17.100000000000001</v>
      </c>
      <c r="E130" s="14" t="s">
        <v>87</v>
      </c>
      <c r="F130" s="15" t="s">
        <v>570</v>
      </c>
      <c r="G130" s="15" t="s">
        <v>575</v>
      </c>
      <c r="H130" s="16">
        <v>5</v>
      </c>
      <c r="I130" s="24">
        <f>IFERROR(VLOOKUP(tblRiskRegister32[[#This Row],[Asset Class]],tblVCDBIndex[],4,FALSE),"")</f>
        <v>3</v>
      </c>
      <c r="J130" s="24">
        <f>IFERROR(VLOOKUP(10*tblRiskRegister32[[#This Row],[Safeguard Maturity Score]]+tblRiskRegister32[[#This Row],[VCDB Index]],tblHITIndexWeightTable[],4,FALSE),"")</f>
        <v>1</v>
      </c>
      <c r="K130" s="24">
        <f>VLOOKUP(tblRiskRegister32[[#This Row],[Asset Class]],tblInherentImpacts30[],2,FALSE)</f>
        <v>5</v>
      </c>
      <c r="L130" s="24">
        <f>VLOOKUP(tblRiskRegister32[[#This Row],[Asset Class]],tblInherentImpacts30[],3,FALSE)</f>
        <v>5</v>
      </c>
      <c r="M130" s="24">
        <f>VLOOKUP(tblRiskRegister32[[#This Row],[Asset Class]],tblInherentImpacts30[],4,FALSE)</f>
        <v>1</v>
      </c>
      <c r="N130" s="24">
        <f>VLOOKUP(tblRiskRegister32[[#This Row],[Asset Class]],tblInherentImpacts30[],5,FALSE)</f>
        <v>5</v>
      </c>
      <c r="O130" s="24">
        <f>IFERROR(MAX(tblRiskRegister32[[#This Row],[Impact to Mission]:[Impact to Obligations]])*tblRiskRegister32[[#This Row],[Expectancy Score]],"")</f>
        <v>5</v>
      </c>
      <c r="P130" s="24">
        <f>tblRiskRegister32[[#This Row],[Risk Score]]</f>
        <v>5</v>
      </c>
      <c r="Q130" s="50" t="s">
        <v>449</v>
      </c>
      <c r="R130" s="50">
        <v>17.100000000000001</v>
      </c>
      <c r="S130" s="15" t="s">
        <v>87</v>
      </c>
      <c r="T130" s="15" t="s">
        <v>403</v>
      </c>
      <c r="U130" s="26"/>
      <c r="V130" s="16"/>
      <c r="W130" s="23" t="str">
        <f>IFERROR(VLOOKUP(10*tblRiskRegister32[[#This Row],[Risk Treatment Safeguard Maturity Score]]+tblRiskRegister32[[#This Row],[VCDB Index]],tblHITIndexWeightTable[],4,FALSE),"")</f>
        <v/>
      </c>
      <c r="X130" s="23">
        <f>VLOOKUP(tblRiskRegister32[[#This Row],[Asset Class]],tblInherentImpacts30[],2,FALSE)</f>
        <v>5</v>
      </c>
      <c r="Y130" s="23">
        <f>VLOOKUP(tblRiskRegister32[[#This Row],[Asset Class]],tblInherentImpacts30[],3,FALSE)</f>
        <v>5</v>
      </c>
      <c r="Z130" s="23">
        <f>VLOOKUP(tblRiskRegister32[[#This Row],[Asset Class]],tblInherentImpacts30[],3,FALSE)</f>
        <v>5</v>
      </c>
      <c r="AA130" s="23">
        <f>VLOOKUP(tblRiskRegister32[[#This Row],[Asset Class]],tblInherentImpacts30[],4,FALSE)</f>
        <v>1</v>
      </c>
      <c r="AB130" s="23" t="str">
        <f>IFERROR(MAX(tblRiskRegister32[[#This Row],[Risk Treatment Safeguard Impact to Mission]:[Risk Treatment Safeguard Impact to Obligations]])*tblRiskRegister32[[#This Row],[Risk Treatment
Safeguard Expectancy Score]],"")</f>
        <v/>
      </c>
      <c r="AC130" s="23" t="str">
        <f>IF(tblRiskRegister32[[#This Row],[Risk Score]]&gt;AcceptableRisk,IF(tblRiskRegister32[[#This Row],[Risk Treatment Safeguard Risk Score]]&lt;AcceptableRisk, IF(tblRiskRegister32[[#This Row],[Risk Treatment Safeguard Risk Score]]&lt;=tblRiskRegister32[[#This Row],[Risk Score]],"Yes","No"),"No"),"Yes")</f>
        <v>Yes</v>
      </c>
      <c r="AD130" s="17"/>
      <c r="AE130" s="17"/>
      <c r="AF130" s="18"/>
    </row>
    <row r="131" spans="2:32" ht="70">
      <c r="B131" s="15" t="s">
        <v>95</v>
      </c>
      <c r="C131" s="50" t="s">
        <v>520</v>
      </c>
      <c r="D131" s="50">
        <v>17.2</v>
      </c>
      <c r="E131" s="14" t="s">
        <v>88</v>
      </c>
      <c r="F131" s="15" t="s">
        <v>571</v>
      </c>
      <c r="G131" s="15" t="s">
        <v>575</v>
      </c>
      <c r="H131" s="16">
        <v>5</v>
      </c>
      <c r="I131" s="24">
        <f>IFERROR(VLOOKUP(tblRiskRegister32[[#This Row],[Asset Class]],tblVCDBIndex[],4,FALSE),"")</f>
        <v>3</v>
      </c>
      <c r="J131" s="24">
        <f>IFERROR(VLOOKUP(10*tblRiskRegister32[[#This Row],[Safeguard Maturity Score]]+tblRiskRegister32[[#This Row],[VCDB Index]],tblHITIndexWeightTable[],4,FALSE),"")</f>
        <v>1</v>
      </c>
      <c r="K131" s="24">
        <f>VLOOKUP(tblRiskRegister32[[#This Row],[Asset Class]],tblInherentImpacts30[],2,FALSE)</f>
        <v>5</v>
      </c>
      <c r="L131" s="24">
        <f>VLOOKUP(tblRiskRegister32[[#This Row],[Asset Class]],tblInherentImpacts30[],3,FALSE)</f>
        <v>5</v>
      </c>
      <c r="M131" s="24">
        <f>VLOOKUP(tblRiskRegister32[[#This Row],[Asset Class]],tblInherentImpacts30[],4,FALSE)</f>
        <v>1</v>
      </c>
      <c r="N131" s="24">
        <f>VLOOKUP(tblRiskRegister32[[#This Row],[Asset Class]],tblInherentImpacts30[],5,FALSE)</f>
        <v>5</v>
      </c>
      <c r="O131" s="24">
        <f>IFERROR(MAX(tblRiskRegister32[[#This Row],[Impact to Mission]:[Impact to Obligations]])*tblRiskRegister32[[#This Row],[Expectancy Score]],"")</f>
        <v>5</v>
      </c>
      <c r="P131" s="24">
        <f>tblRiskRegister32[[#This Row],[Risk Score]]</f>
        <v>5</v>
      </c>
      <c r="Q131" s="50" t="s">
        <v>449</v>
      </c>
      <c r="R131" s="50">
        <v>17.2</v>
      </c>
      <c r="S131" s="15" t="s">
        <v>88</v>
      </c>
      <c r="T131" s="15" t="s">
        <v>404</v>
      </c>
      <c r="U131" s="26"/>
      <c r="V131" s="16"/>
      <c r="W131" s="23" t="str">
        <f>IFERROR(VLOOKUP(10*tblRiskRegister32[[#This Row],[Risk Treatment Safeguard Maturity Score]]+tblRiskRegister32[[#This Row],[VCDB Index]],tblHITIndexWeightTable[],4,FALSE),"")</f>
        <v/>
      </c>
      <c r="X131" s="23">
        <f>VLOOKUP(tblRiskRegister32[[#This Row],[Asset Class]],tblInherentImpacts30[],2,FALSE)</f>
        <v>5</v>
      </c>
      <c r="Y131" s="23">
        <f>VLOOKUP(tblRiskRegister32[[#This Row],[Asset Class]],tblInherentImpacts30[],3,FALSE)</f>
        <v>5</v>
      </c>
      <c r="Z131" s="23">
        <f>VLOOKUP(tblRiskRegister32[[#This Row],[Asset Class]],tblInherentImpacts30[],3,FALSE)</f>
        <v>5</v>
      </c>
      <c r="AA131" s="23">
        <f>VLOOKUP(tblRiskRegister32[[#This Row],[Asset Class]],tblInherentImpacts30[],4,FALSE)</f>
        <v>1</v>
      </c>
      <c r="AB131" s="23" t="str">
        <f>IFERROR(MAX(tblRiskRegister32[[#This Row],[Risk Treatment Safeguard Impact to Mission]:[Risk Treatment Safeguard Impact to Obligations]])*tblRiskRegister32[[#This Row],[Risk Treatment
Safeguard Expectancy Score]],"")</f>
        <v/>
      </c>
      <c r="AC131" s="23" t="str">
        <f>IF(tblRiskRegister32[[#This Row],[Risk Score]]&gt;AcceptableRisk,IF(tblRiskRegister32[[#This Row],[Risk Treatment Safeguard Risk Score]]&lt;AcceptableRisk, IF(tblRiskRegister32[[#This Row],[Risk Treatment Safeguard Risk Score]]&lt;=tblRiskRegister32[[#This Row],[Risk Score]],"Yes","No"),"No"),"Yes")</f>
        <v>Yes</v>
      </c>
      <c r="AD131" s="17"/>
      <c r="AE131" s="17"/>
      <c r="AF131" s="18"/>
    </row>
    <row r="132" spans="2:32" ht="70">
      <c r="B132" s="15" t="s">
        <v>95</v>
      </c>
      <c r="C132" s="50" t="s">
        <v>520</v>
      </c>
      <c r="D132" s="50">
        <v>17.3</v>
      </c>
      <c r="E132" s="14" t="s">
        <v>89</v>
      </c>
      <c r="F132" s="15" t="s">
        <v>572</v>
      </c>
      <c r="G132" s="15" t="s">
        <v>575</v>
      </c>
      <c r="H132" s="16">
        <v>5</v>
      </c>
      <c r="I132" s="24">
        <f>IFERROR(VLOOKUP(tblRiskRegister32[[#This Row],[Asset Class]],tblVCDBIndex[],4,FALSE),"")</f>
        <v>3</v>
      </c>
      <c r="J132" s="24">
        <f>IFERROR(VLOOKUP(10*tblRiskRegister32[[#This Row],[Safeguard Maturity Score]]+tblRiskRegister32[[#This Row],[VCDB Index]],tblHITIndexWeightTable[],4,FALSE),"")</f>
        <v>1</v>
      </c>
      <c r="K132" s="24">
        <f>VLOOKUP(tblRiskRegister32[[#This Row],[Asset Class]],tblInherentImpacts30[],2,FALSE)</f>
        <v>5</v>
      </c>
      <c r="L132" s="24">
        <f>VLOOKUP(tblRiskRegister32[[#This Row],[Asset Class]],tblInherentImpacts30[],3,FALSE)</f>
        <v>5</v>
      </c>
      <c r="M132" s="24">
        <f>VLOOKUP(tblRiskRegister32[[#This Row],[Asset Class]],tblInherentImpacts30[],4,FALSE)</f>
        <v>1</v>
      </c>
      <c r="N132" s="24">
        <f>VLOOKUP(tblRiskRegister32[[#This Row],[Asset Class]],tblInherentImpacts30[],5,FALSE)</f>
        <v>5</v>
      </c>
      <c r="O132" s="24">
        <f>IFERROR(MAX(tblRiskRegister32[[#This Row],[Impact to Mission]:[Impact to Obligations]])*tblRiskRegister32[[#This Row],[Expectancy Score]],"")</f>
        <v>5</v>
      </c>
      <c r="P132" s="24">
        <f>tblRiskRegister32[[#This Row],[Risk Score]]</f>
        <v>5</v>
      </c>
      <c r="Q132" s="50" t="s">
        <v>449</v>
      </c>
      <c r="R132" s="50">
        <v>17.3</v>
      </c>
      <c r="S132" s="15" t="s">
        <v>89</v>
      </c>
      <c r="T132" s="15" t="s">
        <v>405</v>
      </c>
      <c r="U132" s="26"/>
      <c r="V132" s="16"/>
      <c r="W132" s="23" t="str">
        <f>IFERROR(VLOOKUP(10*tblRiskRegister32[[#This Row],[Risk Treatment Safeguard Maturity Score]]+tblRiskRegister32[[#This Row],[VCDB Index]],tblHITIndexWeightTable[],4,FALSE),"")</f>
        <v/>
      </c>
      <c r="X132" s="23">
        <f>VLOOKUP(tblRiskRegister32[[#This Row],[Asset Class]],tblInherentImpacts30[],2,FALSE)</f>
        <v>5</v>
      </c>
      <c r="Y132" s="23">
        <f>VLOOKUP(tblRiskRegister32[[#This Row],[Asset Class]],tblInherentImpacts30[],3,FALSE)</f>
        <v>5</v>
      </c>
      <c r="Z132" s="23">
        <f>VLOOKUP(tblRiskRegister32[[#This Row],[Asset Class]],tblInherentImpacts30[],3,FALSE)</f>
        <v>5</v>
      </c>
      <c r="AA132" s="23">
        <f>VLOOKUP(tblRiskRegister32[[#This Row],[Asset Class]],tblInherentImpacts30[],4,FALSE)</f>
        <v>1</v>
      </c>
      <c r="AB132" s="23" t="str">
        <f>IFERROR(MAX(tblRiskRegister32[[#This Row],[Risk Treatment Safeguard Impact to Mission]:[Risk Treatment Safeguard Impact to Obligations]])*tblRiskRegister32[[#This Row],[Risk Treatment
Safeguard Expectancy Score]],"")</f>
        <v/>
      </c>
      <c r="AC132" s="23" t="str">
        <f>IF(tblRiskRegister32[[#This Row],[Risk Score]]&gt;AcceptableRisk,IF(tblRiskRegister32[[#This Row],[Risk Treatment Safeguard Risk Score]]&lt;AcceptableRisk, IF(tblRiskRegister32[[#This Row],[Risk Treatment Safeguard Risk Score]]&lt;=tblRiskRegister32[[#This Row],[Risk Score]],"Yes","No"),"No"),"Yes")</f>
        <v>Yes</v>
      </c>
      <c r="AD132" s="17"/>
      <c r="AE132" s="17"/>
      <c r="AF132" s="18"/>
    </row>
    <row r="133" spans="2:32" ht="56">
      <c r="B133" s="15" t="s">
        <v>95</v>
      </c>
      <c r="C133" s="50" t="s">
        <v>520</v>
      </c>
      <c r="D133" s="50">
        <v>17.399999999999999</v>
      </c>
      <c r="E133" s="14" t="s">
        <v>201</v>
      </c>
      <c r="F133" s="15" t="s">
        <v>573</v>
      </c>
      <c r="G133" s="15" t="s">
        <v>575</v>
      </c>
      <c r="H133" s="16">
        <v>5</v>
      </c>
      <c r="I133" s="24">
        <f>IFERROR(VLOOKUP(tblRiskRegister32[[#This Row],[Asset Class]],tblVCDBIndex[],4,FALSE),"")</f>
        <v>3</v>
      </c>
      <c r="J133" s="24">
        <f>IFERROR(VLOOKUP(10*tblRiskRegister32[[#This Row],[Safeguard Maturity Score]]+tblRiskRegister32[[#This Row],[VCDB Index]],tblHITIndexWeightTable[],4,FALSE),"")</f>
        <v>1</v>
      </c>
      <c r="K133" s="24">
        <f>VLOOKUP(tblRiskRegister32[[#This Row],[Asset Class]],tblInherentImpacts30[],2,FALSE)</f>
        <v>5</v>
      </c>
      <c r="L133" s="24">
        <f>VLOOKUP(tblRiskRegister32[[#This Row],[Asset Class]],tblInherentImpacts30[],3,FALSE)</f>
        <v>5</v>
      </c>
      <c r="M133" s="24">
        <f>VLOOKUP(tblRiskRegister32[[#This Row],[Asset Class]],tblInherentImpacts30[],4,FALSE)</f>
        <v>1</v>
      </c>
      <c r="N133" s="24">
        <f>VLOOKUP(tblRiskRegister32[[#This Row],[Asset Class]],tblInherentImpacts30[],5,FALSE)</f>
        <v>5</v>
      </c>
      <c r="O133" s="24">
        <f>IFERROR(MAX(tblRiskRegister32[[#This Row],[Impact to Mission]:[Impact to Obligations]])*tblRiskRegister32[[#This Row],[Expectancy Score]],"")</f>
        <v>5</v>
      </c>
      <c r="P133" s="24">
        <f>tblRiskRegister32[[#This Row],[Risk Score]]</f>
        <v>5</v>
      </c>
      <c r="Q133" s="50" t="s">
        <v>449</v>
      </c>
      <c r="R133" s="50">
        <v>17.399999999999999</v>
      </c>
      <c r="S133" s="15" t="s">
        <v>201</v>
      </c>
      <c r="T133" s="15" t="s">
        <v>406</v>
      </c>
      <c r="U133" s="26"/>
      <c r="V133" s="16"/>
      <c r="W133" s="23" t="str">
        <f>IFERROR(VLOOKUP(10*tblRiskRegister32[[#This Row],[Risk Treatment Safeguard Maturity Score]]+tblRiskRegister32[[#This Row],[VCDB Index]],tblHITIndexWeightTable[],4,FALSE),"")</f>
        <v/>
      </c>
      <c r="X133" s="23">
        <f>VLOOKUP(tblRiskRegister32[[#This Row],[Asset Class]],tblInherentImpacts30[],2,FALSE)</f>
        <v>5</v>
      </c>
      <c r="Y133" s="23">
        <f>VLOOKUP(tblRiskRegister32[[#This Row],[Asset Class]],tblInherentImpacts30[],3,FALSE)</f>
        <v>5</v>
      </c>
      <c r="Z133" s="23">
        <f>VLOOKUP(tblRiskRegister32[[#This Row],[Asset Class]],tblInherentImpacts30[],3,FALSE)</f>
        <v>5</v>
      </c>
      <c r="AA133" s="23">
        <f>VLOOKUP(tblRiskRegister32[[#This Row],[Asset Class]],tblInherentImpacts30[],4,FALSE)</f>
        <v>1</v>
      </c>
      <c r="AB133" s="23" t="str">
        <f>IFERROR(MAX(tblRiskRegister32[[#This Row],[Risk Treatment Safeguard Impact to Mission]:[Risk Treatment Safeguard Impact to Obligations]])*tblRiskRegister32[[#This Row],[Risk Treatment
Safeguard Expectancy Score]],"")</f>
        <v/>
      </c>
      <c r="AC133" s="23" t="str">
        <f>IF(tblRiskRegister32[[#This Row],[Risk Score]]&gt;AcceptableRisk,IF(tblRiskRegister32[[#This Row],[Risk Treatment Safeguard Risk Score]]&lt;AcceptableRisk, IF(tblRiskRegister32[[#This Row],[Risk Treatment Safeguard Risk Score]]&lt;=tblRiskRegister32[[#This Row],[Risk Score]],"Yes","No"),"No"),"Yes")</f>
        <v>Yes</v>
      </c>
      <c r="AD133" s="17"/>
      <c r="AE133" s="17"/>
      <c r="AF133" s="18"/>
    </row>
    <row r="134" spans="2:32" ht="56" hidden="1">
      <c r="B134" s="15" t="s">
        <v>95</v>
      </c>
      <c r="C134" s="50"/>
      <c r="D134" s="50">
        <v>17.5</v>
      </c>
      <c r="E134" s="14" t="s">
        <v>202</v>
      </c>
      <c r="F134" s="15"/>
      <c r="G134" s="15"/>
      <c r="H134" s="16"/>
      <c r="I134" s="24">
        <f>IFERROR(VLOOKUP(tblRiskRegister32[[#This Row],[Asset Class]],tblVCDBIndex[],4,FALSE),"")</f>
        <v>3</v>
      </c>
      <c r="J134" s="24" t="str">
        <f>IFERROR(VLOOKUP(10*tblRiskRegister32[[#This Row],[Safeguard Maturity Score]]+tblRiskRegister32[[#This Row],[VCDB Index]],tblHITIndexWeightTable[],4,FALSE),"")</f>
        <v/>
      </c>
      <c r="K134" s="24">
        <f>VLOOKUP(tblRiskRegister32[[#This Row],[Asset Class]],tblInherentImpacts30[],2,FALSE)</f>
        <v>5</v>
      </c>
      <c r="L134" s="24">
        <f>VLOOKUP(tblRiskRegister32[[#This Row],[Asset Class]],tblInherentImpacts30[],3,FALSE)</f>
        <v>5</v>
      </c>
      <c r="M134" s="24">
        <f>VLOOKUP(tblRiskRegister32[[#This Row],[Asset Class]],tblInherentImpacts30[],4,FALSE)</f>
        <v>1</v>
      </c>
      <c r="N134" s="24">
        <f>VLOOKUP(tblRiskRegister32[[#This Row],[Asset Class]],tblInherentImpacts30[],5,FALSE)</f>
        <v>5</v>
      </c>
      <c r="O134" s="24" t="str">
        <f>IFERROR(MAX(tblRiskRegister32[[#This Row],[Impact to Mission]:[Impact to Obligations]])*tblRiskRegister32[[#This Row],[Expectancy Score]],"")</f>
        <v/>
      </c>
      <c r="P134" s="24" t="str">
        <f>tblRiskRegister32[[#This Row],[Risk Score]]</f>
        <v/>
      </c>
      <c r="Q134" s="50"/>
      <c r="R134" s="50">
        <v>17.5</v>
      </c>
      <c r="S134" s="15" t="s">
        <v>202</v>
      </c>
      <c r="T134" s="15" t="s">
        <v>407</v>
      </c>
      <c r="U134" s="26"/>
      <c r="V134" s="16"/>
      <c r="W134" s="23" t="str">
        <f>IFERROR(VLOOKUP(10*tblRiskRegister32[[#This Row],[Risk Treatment Safeguard Maturity Score]]+tblRiskRegister32[[#This Row],[VCDB Index]],tblHITIndexWeightTable[],4,FALSE),"")</f>
        <v/>
      </c>
      <c r="X134" s="23">
        <f>VLOOKUP(tblRiskRegister32[[#This Row],[Asset Class]],tblInherentImpacts30[],2,FALSE)</f>
        <v>5</v>
      </c>
      <c r="Y134" s="23">
        <f>VLOOKUP(tblRiskRegister32[[#This Row],[Asset Class]],tblInherentImpacts30[],3,FALSE)</f>
        <v>5</v>
      </c>
      <c r="Z134" s="23">
        <f>VLOOKUP(tblRiskRegister32[[#This Row],[Asset Class]],tblInherentImpacts30[],3,FALSE)</f>
        <v>5</v>
      </c>
      <c r="AA134" s="23">
        <f>VLOOKUP(tblRiskRegister32[[#This Row],[Asset Class]],tblInherentImpacts30[],4,FALSE)</f>
        <v>1</v>
      </c>
      <c r="AB134" s="23" t="str">
        <f>IFERROR(MAX(tblRiskRegister32[[#This Row],[Risk Treatment Safeguard Impact to Mission]:[Risk Treatment Safeguard Impact to Obligations]])*tblRiskRegister32[[#This Row],[Risk Treatment
Safeguard Expectancy Score]],"")</f>
        <v/>
      </c>
      <c r="AC134" s="23" t="str">
        <f>IF(tblRiskRegister32[[#This Row],[Risk Score]]&gt;AcceptableRisk,IF(tblRiskRegister32[[#This Row],[Risk Treatment Safeguard Risk Score]]&lt;AcceptableRisk, IF(tblRiskRegister32[[#This Row],[Risk Treatment Safeguard Risk Score]]&lt;=tblRiskRegister32[[#This Row],[Risk Score]],"Yes","No"),"No"),"Yes")</f>
        <v>No</v>
      </c>
      <c r="AD134" s="17"/>
      <c r="AE134" s="17"/>
      <c r="AF134" s="18"/>
    </row>
    <row r="135" spans="2:32" ht="70" hidden="1">
      <c r="B135" s="15" t="s">
        <v>95</v>
      </c>
      <c r="C135" s="50"/>
      <c r="D135" s="50">
        <v>17.600000000000001</v>
      </c>
      <c r="E135" s="14" t="s">
        <v>203</v>
      </c>
      <c r="F135" s="15"/>
      <c r="G135" s="15"/>
      <c r="H135" s="16"/>
      <c r="I135" s="24">
        <f>IFERROR(VLOOKUP(tblRiskRegister32[[#This Row],[Asset Class]],tblVCDBIndex[],4,FALSE),"")</f>
        <v>3</v>
      </c>
      <c r="J135" s="24" t="str">
        <f>IFERROR(VLOOKUP(10*tblRiskRegister32[[#This Row],[Safeguard Maturity Score]]+tblRiskRegister32[[#This Row],[VCDB Index]],tblHITIndexWeightTable[],4,FALSE),"")</f>
        <v/>
      </c>
      <c r="K135" s="24">
        <f>VLOOKUP(tblRiskRegister32[[#This Row],[Asset Class]],tblInherentImpacts30[],2,FALSE)</f>
        <v>5</v>
      </c>
      <c r="L135" s="24">
        <f>VLOOKUP(tblRiskRegister32[[#This Row],[Asset Class]],tblInherentImpacts30[],3,FALSE)</f>
        <v>5</v>
      </c>
      <c r="M135" s="24">
        <f>VLOOKUP(tblRiskRegister32[[#This Row],[Asset Class]],tblInherentImpacts30[],4,FALSE)</f>
        <v>1</v>
      </c>
      <c r="N135" s="24">
        <f>VLOOKUP(tblRiskRegister32[[#This Row],[Asset Class]],tblInherentImpacts30[],5,FALSE)</f>
        <v>5</v>
      </c>
      <c r="O135" s="24" t="str">
        <f>IFERROR(MAX(tblRiskRegister32[[#This Row],[Impact to Mission]:[Impact to Obligations]])*tblRiskRegister32[[#This Row],[Expectancy Score]],"")</f>
        <v/>
      </c>
      <c r="P135" s="24" t="str">
        <f>tblRiskRegister32[[#This Row],[Risk Score]]</f>
        <v/>
      </c>
      <c r="Q135" s="50"/>
      <c r="R135" s="50">
        <v>17.600000000000001</v>
      </c>
      <c r="S135" s="15" t="s">
        <v>203</v>
      </c>
      <c r="T135" s="15" t="s">
        <v>408</v>
      </c>
      <c r="U135" s="26"/>
      <c r="V135" s="16"/>
      <c r="W135" s="23" t="str">
        <f>IFERROR(VLOOKUP(10*tblRiskRegister32[[#This Row],[Risk Treatment Safeguard Maturity Score]]+tblRiskRegister32[[#This Row],[VCDB Index]],tblHITIndexWeightTable[],4,FALSE),"")</f>
        <v/>
      </c>
      <c r="X135" s="23">
        <f>VLOOKUP(tblRiskRegister32[[#This Row],[Asset Class]],tblInherentImpacts30[],2,FALSE)</f>
        <v>5</v>
      </c>
      <c r="Y135" s="23">
        <f>VLOOKUP(tblRiskRegister32[[#This Row],[Asset Class]],tblInherentImpacts30[],3,FALSE)</f>
        <v>5</v>
      </c>
      <c r="Z135" s="23">
        <f>VLOOKUP(tblRiskRegister32[[#This Row],[Asset Class]],tblInherentImpacts30[],3,FALSE)</f>
        <v>5</v>
      </c>
      <c r="AA135" s="23">
        <f>VLOOKUP(tblRiskRegister32[[#This Row],[Asset Class]],tblInherentImpacts30[],4,FALSE)</f>
        <v>1</v>
      </c>
      <c r="AB135" s="23" t="str">
        <f>IFERROR(MAX(tblRiskRegister32[[#This Row],[Risk Treatment Safeguard Impact to Mission]:[Risk Treatment Safeguard Impact to Obligations]])*tblRiskRegister32[[#This Row],[Risk Treatment
Safeguard Expectancy Score]],"")</f>
        <v/>
      </c>
      <c r="AC135" s="23" t="str">
        <f>IF(tblRiskRegister32[[#This Row],[Risk Score]]&gt;AcceptableRisk,IF(tblRiskRegister32[[#This Row],[Risk Treatment Safeguard Risk Score]]&lt;AcceptableRisk, IF(tblRiskRegister32[[#This Row],[Risk Treatment Safeguard Risk Score]]&lt;=tblRiskRegister32[[#This Row],[Risk Score]],"Yes","No"),"No"),"Yes")</f>
        <v>No</v>
      </c>
      <c r="AD135" s="17"/>
      <c r="AE135" s="17"/>
      <c r="AF135" s="18"/>
    </row>
    <row r="136" spans="2:32" ht="56">
      <c r="B136" s="15" t="s">
        <v>95</v>
      </c>
      <c r="C136" s="50" t="s">
        <v>520</v>
      </c>
      <c r="D136" s="50">
        <v>17.7</v>
      </c>
      <c r="E136" s="14" t="s">
        <v>204</v>
      </c>
      <c r="F136" s="15" t="s">
        <v>542</v>
      </c>
      <c r="G136" s="15" t="s">
        <v>583</v>
      </c>
      <c r="H136" s="16">
        <v>1</v>
      </c>
      <c r="I136" s="24">
        <f>IFERROR(VLOOKUP(tblRiskRegister32[[#This Row],[Asset Class]],tblVCDBIndex[],4,FALSE),"")</f>
        <v>3</v>
      </c>
      <c r="J136" s="24">
        <f>IFERROR(VLOOKUP(10*tblRiskRegister32[[#This Row],[Safeguard Maturity Score]]+tblRiskRegister32[[#This Row],[VCDB Index]],tblHITIndexWeightTable[],4,FALSE),"")</f>
        <v>5</v>
      </c>
      <c r="K136" s="24">
        <f>VLOOKUP(tblRiskRegister32[[#This Row],[Asset Class]],tblInherentImpacts30[],2,FALSE)</f>
        <v>5</v>
      </c>
      <c r="L136" s="24">
        <f>VLOOKUP(tblRiskRegister32[[#This Row],[Asset Class]],tblInherentImpacts30[],3,FALSE)</f>
        <v>5</v>
      </c>
      <c r="M136" s="24">
        <f>VLOOKUP(tblRiskRegister32[[#This Row],[Asset Class]],tblInherentImpacts30[],4,FALSE)</f>
        <v>1</v>
      </c>
      <c r="N136" s="24">
        <f>VLOOKUP(tblRiskRegister32[[#This Row],[Asset Class]],tblInherentImpacts30[],5,FALSE)</f>
        <v>5</v>
      </c>
      <c r="O136" s="24">
        <f>IFERROR(MAX(tblRiskRegister32[[#This Row],[Impact to Mission]:[Impact to Obligations]])*tblRiskRegister32[[#This Row],[Expectancy Score]],"")</f>
        <v>25</v>
      </c>
      <c r="P136" s="24">
        <f>tblRiskRegister32[[#This Row],[Risk Score]]</f>
        <v>25</v>
      </c>
      <c r="Q136" s="50" t="s">
        <v>448</v>
      </c>
      <c r="R136" s="50">
        <v>17.7</v>
      </c>
      <c r="S136" s="15" t="s">
        <v>204</v>
      </c>
      <c r="T136" s="15" t="s">
        <v>409</v>
      </c>
      <c r="U136" s="26"/>
      <c r="V136" s="16"/>
      <c r="W136" s="23" t="str">
        <f>IFERROR(VLOOKUP(10*tblRiskRegister32[[#This Row],[Risk Treatment Safeguard Maturity Score]]+tblRiskRegister32[[#This Row],[VCDB Index]],tblHITIndexWeightTable[],4,FALSE),"")</f>
        <v/>
      </c>
      <c r="X136" s="23">
        <f>VLOOKUP(tblRiskRegister32[[#This Row],[Asset Class]],tblInherentImpacts30[],2,FALSE)</f>
        <v>5</v>
      </c>
      <c r="Y136" s="23">
        <f>VLOOKUP(tblRiskRegister32[[#This Row],[Asset Class]],tblInherentImpacts30[],3,FALSE)</f>
        <v>5</v>
      </c>
      <c r="Z136" s="23">
        <f>VLOOKUP(tblRiskRegister32[[#This Row],[Asset Class]],tblInherentImpacts30[],3,FALSE)</f>
        <v>5</v>
      </c>
      <c r="AA136" s="23">
        <f>VLOOKUP(tblRiskRegister32[[#This Row],[Asset Class]],tblInherentImpacts30[],4,FALSE)</f>
        <v>1</v>
      </c>
      <c r="AB136" s="23" t="str">
        <f>IFERROR(MAX(tblRiskRegister32[[#This Row],[Risk Treatment Safeguard Impact to Mission]:[Risk Treatment Safeguard Impact to Obligations]])*tblRiskRegister32[[#This Row],[Risk Treatment
Safeguard Expectancy Score]],"")</f>
        <v/>
      </c>
      <c r="AC136" s="23" t="str">
        <f>IF(tblRiskRegister32[[#This Row],[Risk Score]]&gt;AcceptableRisk,IF(tblRiskRegister32[[#This Row],[Risk Treatment Safeguard Risk Score]]&lt;AcceptableRisk, IF(tblRiskRegister32[[#This Row],[Risk Treatment Safeguard Risk Score]]&lt;=tblRiskRegister32[[#This Row],[Risk Score]],"Yes","No"),"No"),"Yes")</f>
        <v>No</v>
      </c>
      <c r="AD136" s="17"/>
      <c r="AE136" s="17"/>
      <c r="AF136" s="18"/>
    </row>
    <row r="137" spans="2:32" ht="42">
      <c r="B137" s="15" t="s">
        <v>95</v>
      </c>
      <c r="C137" s="50" t="s">
        <v>520</v>
      </c>
      <c r="D137" s="50">
        <v>17.8</v>
      </c>
      <c r="E137" s="14" t="s">
        <v>205</v>
      </c>
      <c r="F137" s="15" t="s">
        <v>574</v>
      </c>
      <c r="G137" s="15" t="s">
        <v>575</v>
      </c>
      <c r="H137" s="16">
        <v>5</v>
      </c>
      <c r="I137" s="24">
        <f>IFERROR(VLOOKUP(tblRiskRegister32[[#This Row],[Asset Class]],tblVCDBIndex[],4,FALSE),"")</f>
        <v>3</v>
      </c>
      <c r="J137" s="24">
        <f>IFERROR(VLOOKUP(10*tblRiskRegister32[[#This Row],[Safeguard Maturity Score]]+tblRiskRegister32[[#This Row],[VCDB Index]],tblHITIndexWeightTable[],4,FALSE),"")</f>
        <v>1</v>
      </c>
      <c r="K137" s="24">
        <f>VLOOKUP(tblRiskRegister32[[#This Row],[Asset Class]],tblInherentImpacts30[],2,FALSE)</f>
        <v>5</v>
      </c>
      <c r="L137" s="24">
        <f>VLOOKUP(tblRiskRegister32[[#This Row],[Asset Class]],tblInherentImpacts30[],3,FALSE)</f>
        <v>5</v>
      </c>
      <c r="M137" s="24">
        <f>VLOOKUP(tblRiskRegister32[[#This Row],[Asset Class]],tblInherentImpacts30[],4,FALSE)</f>
        <v>1</v>
      </c>
      <c r="N137" s="24">
        <f>VLOOKUP(tblRiskRegister32[[#This Row],[Asset Class]],tblInherentImpacts30[],5,FALSE)</f>
        <v>5</v>
      </c>
      <c r="O137" s="24">
        <f>IFERROR(MAX(tblRiskRegister32[[#This Row],[Impact to Mission]:[Impact to Obligations]])*tblRiskRegister32[[#This Row],[Expectancy Score]],"")</f>
        <v>5</v>
      </c>
      <c r="P137" s="24">
        <f>tblRiskRegister32[[#This Row],[Risk Score]]</f>
        <v>5</v>
      </c>
      <c r="Q137" s="50" t="s">
        <v>449</v>
      </c>
      <c r="R137" s="50">
        <v>17.8</v>
      </c>
      <c r="S137" s="15" t="s">
        <v>205</v>
      </c>
      <c r="T137" s="15" t="s">
        <v>410</v>
      </c>
      <c r="U137" s="26"/>
      <c r="V137" s="16"/>
      <c r="W137" s="23" t="str">
        <f>IFERROR(VLOOKUP(10*tblRiskRegister32[[#This Row],[Risk Treatment Safeguard Maturity Score]]+tblRiskRegister32[[#This Row],[VCDB Index]],tblHITIndexWeightTable[],4,FALSE),"")</f>
        <v/>
      </c>
      <c r="X137" s="23">
        <f>VLOOKUP(tblRiskRegister32[[#This Row],[Asset Class]],tblInherentImpacts30[],2,FALSE)</f>
        <v>5</v>
      </c>
      <c r="Y137" s="23">
        <f>VLOOKUP(tblRiskRegister32[[#This Row],[Asset Class]],tblInherentImpacts30[],3,FALSE)</f>
        <v>5</v>
      </c>
      <c r="Z137" s="23">
        <f>VLOOKUP(tblRiskRegister32[[#This Row],[Asset Class]],tblInherentImpacts30[],3,FALSE)</f>
        <v>5</v>
      </c>
      <c r="AA137" s="23">
        <f>VLOOKUP(tblRiskRegister32[[#This Row],[Asset Class]],tblInherentImpacts30[],4,FALSE)</f>
        <v>1</v>
      </c>
      <c r="AB137" s="23" t="str">
        <f>IFERROR(MAX(tblRiskRegister32[[#This Row],[Risk Treatment Safeguard Impact to Mission]:[Risk Treatment Safeguard Impact to Obligations]])*tblRiskRegister32[[#This Row],[Risk Treatment
Safeguard Expectancy Score]],"")</f>
        <v/>
      </c>
      <c r="AC137" s="23" t="str">
        <f>IF(tblRiskRegister32[[#This Row],[Risk Score]]&gt;AcceptableRisk,IF(tblRiskRegister32[[#This Row],[Risk Treatment Safeguard Risk Score]]&lt;AcceptableRisk, IF(tblRiskRegister32[[#This Row],[Risk Treatment Safeguard Risk Score]]&lt;=tblRiskRegister32[[#This Row],[Risk Score]],"Yes","No"),"No"),"Yes")</f>
        <v>Yes</v>
      </c>
      <c r="AD137" s="17"/>
      <c r="AE137" s="17"/>
      <c r="AF137" s="18"/>
    </row>
    <row r="138" spans="2:32" ht="84" hidden="1">
      <c r="B138" s="15" t="s">
        <v>95</v>
      </c>
      <c r="C138" s="50"/>
      <c r="D138" s="50">
        <v>18.100000000000001</v>
      </c>
      <c r="E138" s="14" t="s">
        <v>206</v>
      </c>
      <c r="F138" s="15"/>
      <c r="G138" s="15"/>
      <c r="H138" s="16"/>
      <c r="I138" s="24">
        <f>IFERROR(VLOOKUP(tblRiskRegister32[[#This Row],[Asset Class]],tblVCDBIndex[],4,FALSE),"")</f>
        <v>3</v>
      </c>
      <c r="J138" s="24" t="str">
        <f>IFERROR(VLOOKUP(10*tblRiskRegister32[[#This Row],[Safeguard Maturity Score]]+tblRiskRegister32[[#This Row],[VCDB Index]],tblHITIndexWeightTable[],4,FALSE),"")</f>
        <v/>
      </c>
      <c r="K138" s="24">
        <f>VLOOKUP(tblRiskRegister32[[#This Row],[Asset Class]],tblInherentImpacts30[],2,FALSE)</f>
        <v>5</v>
      </c>
      <c r="L138" s="24">
        <f>VLOOKUP(tblRiskRegister32[[#This Row],[Asset Class]],tblInherentImpacts30[],3,FALSE)</f>
        <v>5</v>
      </c>
      <c r="M138" s="24">
        <f>VLOOKUP(tblRiskRegister32[[#This Row],[Asset Class]],tblInherentImpacts30[],4,FALSE)</f>
        <v>1</v>
      </c>
      <c r="N138" s="24">
        <f>VLOOKUP(tblRiskRegister32[[#This Row],[Asset Class]],tblInherentImpacts30[],5,FALSE)</f>
        <v>5</v>
      </c>
      <c r="O138" s="24" t="str">
        <f>IFERROR(MAX(tblRiskRegister32[[#This Row],[Impact to Mission]:[Impact to Obligations]])*tblRiskRegister32[[#This Row],[Expectancy Score]],"")</f>
        <v/>
      </c>
      <c r="P138" s="24" t="str">
        <f>tblRiskRegister32[[#This Row],[Risk Score]]</f>
        <v/>
      </c>
      <c r="Q138" s="50"/>
      <c r="R138" s="50">
        <v>18.100000000000001</v>
      </c>
      <c r="S138" s="15" t="s">
        <v>206</v>
      </c>
      <c r="T138" s="15" t="s">
        <v>411</v>
      </c>
      <c r="U138" s="26"/>
      <c r="V138" s="16"/>
      <c r="W138" s="23" t="str">
        <f>IFERROR(VLOOKUP(10*tblRiskRegister32[[#This Row],[Risk Treatment Safeguard Maturity Score]]+tblRiskRegister32[[#This Row],[VCDB Index]],tblHITIndexWeightTable[],4,FALSE),"")</f>
        <v/>
      </c>
      <c r="X138" s="23">
        <f>VLOOKUP(tblRiskRegister32[[#This Row],[Asset Class]],tblInherentImpacts30[],2,FALSE)</f>
        <v>5</v>
      </c>
      <c r="Y138" s="23">
        <f>VLOOKUP(tblRiskRegister32[[#This Row],[Asset Class]],tblInherentImpacts30[],3,FALSE)</f>
        <v>5</v>
      </c>
      <c r="Z138" s="23">
        <f>VLOOKUP(tblRiskRegister32[[#This Row],[Asset Class]],tblInherentImpacts30[],3,FALSE)</f>
        <v>5</v>
      </c>
      <c r="AA138" s="23">
        <f>VLOOKUP(tblRiskRegister32[[#This Row],[Asset Class]],tblInherentImpacts30[],4,FALSE)</f>
        <v>1</v>
      </c>
      <c r="AB138" s="23" t="str">
        <f>IFERROR(MAX(tblRiskRegister32[[#This Row],[Risk Treatment Safeguard Impact to Mission]:[Risk Treatment Safeguard Impact to Obligations]])*tblRiskRegister32[[#This Row],[Risk Treatment
Safeguard Expectancy Score]],"")</f>
        <v/>
      </c>
      <c r="AC138" s="23" t="str">
        <f>IF(tblRiskRegister32[[#This Row],[Risk Score]]&gt;AcceptableRisk,IF(tblRiskRegister32[[#This Row],[Risk Treatment Safeguard Risk Score]]&lt;AcceptableRisk, IF(tblRiskRegister32[[#This Row],[Risk Treatment Safeguard Risk Score]]&lt;=tblRiskRegister32[[#This Row],[Risk Score]],"Yes","No"),"No"),"Yes")</f>
        <v>No</v>
      </c>
      <c r="AD138" s="17"/>
      <c r="AE138" s="17"/>
      <c r="AF138" s="18"/>
    </row>
    <row r="139" spans="2:32" ht="70" hidden="1">
      <c r="B139" s="15" t="s">
        <v>93</v>
      </c>
      <c r="C139" s="50"/>
      <c r="D139" s="50">
        <v>18.2</v>
      </c>
      <c r="E139" s="14" t="s">
        <v>227</v>
      </c>
      <c r="F139" s="15"/>
      <c r="G139" s="15"/>
      <c r="H139" s="16"/>
      <c r="I139" s="24">
        <f>IFERROR(VLOOKUP(tblRiskRegister32[[#This Row],[Asset Class]],tblVCDBIndex[],4,FALSE),"")</f>
        <v>1</v>
      </c>
      <c r="J139" s="24" t="str">
        <f>IFERROR(VLOOKUP(10*tblRiskRegister32[[#This Row],[Safeguard Maturity Score]]+tblRiskRegister32[[#This Row],[VCDB Index]],tblHITIndexWeightTable[],4,FALSE),"")</f>
        <v/>
      </c>
      <c r="K139" s="24">
        <f>VLOOKUP(tblRiskRegister32[[#This Row],[Asset Class]],tblInherentImpacts30[],2,FALSE)</f>
        <v>4</v>
      </c>
      <c r="L139" s="24">
        <f>VLOOKUP(tblRiskRegister32[[#This Row],[Asset Class]],tblInherentImpacts30[],3,FALSE)</f>
        <v>5</v>
      </c>
      <c r="M139" s="24">
        <f>VLOOKUP(tblRiskRegister32[[#This Row],[Asset Class]],tblInherentImpacts30[],4,FALSE)</f>
        <v>1</v>
      </c>
      <c r="N139" s="24">
        <f>VLOOKUP(tblRiskRegister32[[#This Row],[Asset Class]],tblInherentImpacts30[],5,FALSE)</f>
        <v>5</v>
      </c>
      <c r="O139" s="24" t="str">
        <f>IFERROR(MAX(tblRiskRegister32[[#This Row],[Impact to Mission]:[Impact to Obligations]])*tblRiskRegister32[[#This Row],[Expectancy Score]],"")</f>
        <v/>
      </c>
      <c r="P139" s="24" t="str">
        <f>tblRiskRegister32[[#This Row],[Risk Score]]</f>
        <v/>
      </c>
      <c r="Q139" s="50"/>
      <c r="R139" s="50">
        <v>18.2</v>
      </c>
      <c r="S139" s="15" t="s">
        <v>227</v>
      </c>
      <c r="T139" s="15" t="s">
        <v>412</v>
      </c>
      <c r="U139" s="26"/>
      <c r="V139" s="16"/>
      <c r="W139" s="23" t="str">
        <f>IFERROR(VLOOKUP(10*tblRiskRegister32[[#This Row],[Risk Treatment Safeguard Maturity Score]]+tblRiskRegister32[[#This Row],[VCDB Index]],tblHITIndexWeightTable[],4,FALSE),"")</f>
        <v/>
      </c>
      <c r="X139" s="23">
        <f>VLOOKUP(tblRiskRegister32[[#This Row],[Asset Class]],tblInherentImpacts30[],2,FALSE)</f>
        <v>4</v>
      </c>
      <c r="Y139" s="23">
        <f>VLOOKUP(tblRiskRegister32[[#This Row],[Asset Class]],tblInherentImpacts30[],3,FALSE)</f>
        <v>5</v>
      </c>
      <c r="Z139" s="23">
        <f>VLOOKUP(tblRiskRegister32[[#This Row],[Asset Class]],tblInherentImpacts30[],3,FALSE)</f>
        <v>5</v>
      </c>
      <c r="AA139" s="23">
        <f>VLOOKUP(tblRiskRegister32[[#This Row],[Asset Class]],tblInherentImpacts30[],4,FALSE)</f>
        <v>1</v>
      </c>
      <c r="AB139" s="23" t="str">
        <f>IFERROR(MAX(tblRiskRegister32[[#This Row],[Risk Treatment Safeguard Impact to Mission]:[Risk Treatment Safeguard Impact to Obligations]])*tblRiskRegister32[[#This Row],[Risk Treatment
Safeguard Expectancy Score]],"")</f>
        <v/>
      </c>
      <c r="AC139" s="23" t="str">
        <f>IF(tblRiskRegister32[[#This Row],[Risk Score]]&gt;AcceptableRisk,IF(tblRiskRegister32[[#This Row],[Risk Treatment Safeguard Risk Score]]&lt;AcceptableRisk, IF(tblRiskRegister32[[#This Row],[Risk Treatment Safeguard Risk Score]]&lt;=tblRiskRegister32[[#This Row],[Risk Score]],"Yes","No"),"No"),"Yes")</f>
        <v>No</v>
      </c>
      <c r="AD139" s="17"/>
      <c r="AE139" s="17"/>
      <c r="AF139" s="18"/>
    </row>
    <row r="140" spans="2:32" ht="28" hidden="1">
      <c r="B140" s="15" t="s">
        <v>93</v>
      </c>
      <c r="C140" s="50"/>
      <c r="D140" s="50">
        <v>18.3</v>
      </c>
      <c r="E140" s="14" t="s">
        <v>228</v>
      </c>
      <c r="F140" s="15"/>
      <c r="G140" s="15"/>
      <c r="H140" s="16"/>
      <c r="I140" s="24">
        <f>IFERROR(VLOOKUP(tblRiskRegister32[[#This Row],[Asset Class]],tblVCDBIndex[],4,FALSE),"")</f>
        <v>1</v>
      </c>
      <c r="J140" s="24" t="str">
        <f>IFERROR(VLOOKUP(10*tblRiskRegister32[[#This Row],[Safeguard Maturity Score]]+tblRiskRegister32[[#This Row],[VCDB Index]],tblHITIndexWeightTable[],4,FALSE),"")</f>
        <v/>
      </c>
      <c r="K140" s="24">
        <f>VLOOKUP(tblRiskRegister32[[#This Row],[Asset Class]],tblInherentImpacts30[],2,FALSE)</f>
        <v>4</v>
      </c>
      <c r="L140" s="24">
        <f>VLOOKUP(tblRiskRegister32[[#This Row],[Asset Class]],tblInherentImpacts30[],3,FALSE)</f>
        <v>5</v>
      </c>
      <c r="M140" s="24">
        <f>VLOOKUP(tblRiskRegister32[[#This Row],[Asset Class]],tblInherentImpacts30[],4,FALSE)</f>
        <v>1</v>
      </c>
      <c r="N140" s="24">
        <f>VLOOKUP(tblRiskRegister32[[#This Row],[Asset Class]],tblInherentImpacts30[],5,FALSE)</f>
        <v>5</v>
      </c>
      <c r="O140" s="24" t="str">
        <f>IFERROR(MAX(tblRiskRegister32[[#This Row],[Impact to Mission]:[Impact to Obligations]])*tblRiskRegister32[[#This Row],[Expectancy Score]],"")</f>
        <v/>
      </c>
      <c r="P140" s="24" t="str">
        <f>tblRiskRegister32[[#This Row],[Risk Score]]</f>
        <v/>
      </c>
      <c r="Q140" s="50"/>
      <c r="R140" s="50">
        <v>18.3</v>
      </c>
      <c r="S140" s="15" t="s">
        <v>228</v>
      </c>
      <c r="T140" s="15" t="s">
        <v>413</v>
      </c>
      <c r="U140" s="26"/>
      <c r="V140" s="16"/>
      <c r="W140" s="23" t="str">
        <f>IFERROR(VLOOKUP(10*tblRiskRegister32[[#This Row],[Risk Treatment Safeguard Maturity Score]]+tblRiskRegister32[[#This Row],[VCDB Index]],tblHITIndexWeightTable[],4,FALSE),"")</f>
        <v/>
      </c>
      <c r="X140" s="23">
        <f>VLOOKUP(tblRiskRegister32[[#This Row],[Asset Class]],tblInherentImpacts30[],2,FALSE)</f>
        <v>4</v>
      </c>
      <c r="Y140" s="23">
        <f>VLOOKUP(tblRiskRegister32[[#This Row],[Asset Class]],tblInherentImpacts30[],3,FALSE)</f>
        <v>5</v>
      </c>
      <c r="Z140" s="23">
        <f>VLOOKUP(tblRiskRegister32[[#This Row],[Asset Class]],tblInherentImpacts30[],3,FALSE)</f>
        <v>5</v>
      </c>
      <c r="AA140" s="23">
        <f>VLOOKUP(tblRiskRegister32[[#This Row],[Asset Class]],tblInherentImpacts30[],4,FALSE)</f>
        <v>1</v>
      </c>
      <c r="AB140" s="23" t="str">
        <f>IFERROR(MAX(tblRiskRegister32[[#This Row],[Risk Treatment Safeguard Impact to Mission]:[Risk Treatment Safeguard Impact to Obligations]])*tblRiskRegister32[[#This Row],[Risk Treatment
Safeguard Expectancy Score]],"")</f>
        <v/>
      </c>
      <c r="AC140" s="23" t="str">
        <f>IF(tblRiskRegister32[[#This Row],[Risk Score]]&gt;AcceptableRisk,IF(tblRiskRegister32[[#This Row],[Risk Treatment Safeguard Risk Score]]&lt;AcceptableRisk, IF(tblRiskRegister32[[#This Row],[Risk Treatment Safeguard Risk Score]]&lt;=tblRiskRegister32[[#This Row],[Risk Score]],"Yes","No"),"No"),"Yes")</f>
        <v>No</v>
      </c>
      <c r="AD140" s="17"/>
      <c r="AE140" s="17"/>
      <c r="AF140" s="18"/>
    </row>
  </sheetData>
  <sheetProtection formatCells="0" formatColumns="0" formatRows="0" insertRows="0" sort="0" autoFilter="0" pivotTables="0"/>
  <mergeCells count="7">
    <mergeCell ref="AM8:AO8"/>
    <mergeCell ref="V8:AK8"/>
    <mergeCell ref="B2:B4"/>
    <mergeCell ref="E2:F2"/>
    <mergeCell ref="E3:F3"/>
    <mergeCell ref="E4:F4"/>
    <mergeCell ref="D8:T8"/>
  </mergeCells>
  <phoneticPr fontId="23" type="noConversion"/>
  <conditionalFormatting sqref="P11:P140">
    <cfRule type="iconSet" priority="1">
      <iconSet showValue="0" reverse="1">
        <cfvo type="percent" val="0"/>
        <cfvo type="num" val="AcceptableRisk"/>
        <cfvo type="num" val="15"/>
      </iconSet>
    </cfRule>
  </conditionalFormatting>
  <dataValidations count="5">
    <dataValidation type="list" allowBlank="1" showInputMessage="1" showErrorMessage="1" sqref="Q11:Q140" xr:uid="{9E6E66ED-08E3-4354-9676-F8FD026E4D65}">
      <formula1>"Accept,Reduce"</formula1>
    </dataValidation>
    <dataValidation type="list" allowBlank="1" showInputMessage="1" showErrorMessage="1" sqref="AE11:AE140" xr:uid="{73C997AE-F49E-40F2-A4E8-3DEAB8D0614E}">
      <formula1>"Q1, Q2, Q3, Q4"</formula1>
    </dataValidation>
    <dataValidation type="list" allowBlank="1" showInputMessage="1" showErrorMessage="1" sqref="B11:B140" xr:uid="{BF1472F2-8876-4FCB-9D8A-474DF21EFABA}">
      <formula1>Asset_Classes</formula1>
    </dataValidation>
    <dataValidation type="list" allowBlank="1" showInputMessage="1" showErrorMessage="1" sqref="AF11:AF140" xr:uid="{2254A6F9-A2C3-4091-8C2E-2AAEA95BFA9B}">
      <formula1>"2021,2022,2023,2024,2025,2026,2027,2028,2029,2030,2031"</formula1>
    </dataValidation>
    <dataValidation type="list" allowBlank="1" showInputMessage="1" showErrorMessage="1" sqref="V11:V140 H11:H140" xr:uid="{3E7C67A2-A01D-41EC-ADC5-49D6B399FC67}">
      <formula1>Maturity_Score</formula1>
    </dataValidation>
  </dataValidations>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A260-A880-418F-AD10-26A9E6DE92D4}">
  <sheetPr codeName="Sheet6">
    <tabColor rgb="FF0086BF"/>
  </sheetPr>
  <dimension ref="B2:K47"/>
  <sheetViews>
    <sheetView showGridLines="0" workbookViewId="0">
      <selection activeCell="B2" sqref="B2:B7"/>
    </sheetView>
  </sheetViews>
  <sheetFormatPr baseColWidth="10" defaultColWidth="9.1640625" defaultRowHeight="16"/>
  <cols>
    <col min="1" max="1" width="9.1640625" style="2"/>
    <col min="2" max="2" width="22" style="146" customWidth="1"/>
    <col min="3" max="3" width="28.83203125" style="21" customWidth="1"/>
    <col min="4" max="4" width="76.5" style="11" customWidth="1"/>
    <col min="5" max="5" width="9.1640625" style="2"/>
    <col min="6" max="6" width="20.5" style="2" bestFit="1" customWidth="1"/>
    <col min="7" max="10" width="31.5" style="2" customWidth="1"/>
    <col min="11" max="11" width="16.5" style="2" customWidth="1"/>
    <col min="12" max="16384" width="9.1640625" style="2"/>
  </cols>
  <sheetData>
    <row r="2" spans="2:11" ht="17">
      <c r="B2" s="216" t="s">
        <v>119</v>
      </c>
      <c r="C2" s="172" t="s">
        <v>125</v>
      </c>
      <c r="D2" s="173" t="s">
        <v>120</v>
      </c>
      <c r="F2" s="214" t="s">
        <v>19</v>
      </c>
      <c r="G2" s="215"/>
      <c r="H2" s="215"/>
      <c r="I2" s="215"/>
      <c r="J2" s="215"/>
    </row>
    <row r="3" spans="2:11" ht="28">
      <c r="B3" s="216"/>
      <c r="C3" s="27"/>
      <c r="D3" s="35" t="s">
        <v>260</v>
      </c>
      <c r="F3" s="92" t="s">
        <v>5</v>
      </c>
      <c r="G3" s="93" t="s">
        <v>6</v>
      </c>
      <c r="H3" s="93" t="s">
        <v>97</v>
      </c>
      <c r="I3" s="94" t="s">
        <v>98</v>
      </c>
      <c r="J3" s="95" t="s">
        <v>23</v>
      </c>
    </row>
    <row r="4" spans="2:11" ht="28">
      <c r="B4" s="216"/>
      <c r="C4" s="30"/>
      <c r="D4" s="35" t="s">
        <v>261</v>
      </c>
      <c r="F4" s="96" t="s">
        <v>4</v>
      </c>
      <c r="G4" s="33" t="s">
        <v>117</v>
      </c>
      <c r="H4" s="33" t="s">
        <v>117</v>
      </c>
      <c r="I4" s="45" t="s">
        <v>118</v>
      </c>
      <c r="J4" s="33" t="s">
        <v>117</v>
      </c>
    </row>
    <row r="5" spans="2:11" ht="12.75" customHeight="1">
      <c r="B5" s="216"/>
      <c r="C5" s="29"/>
      <c r="D5" s="35" t="s">
        <v>121</v>
      </c>
      <c r="F5" s="99" t="s">
        <v>133</v>
      </c>
      <c r="G5" s="33" t="s">
        <v>482</v>
      </c>
      <c r="H5" s="33" t="s">
        <v>482</v>
      </c>
      <c r="I5" s="45" t="s">
        <v>118</v>
      </c>
      <c r="J5" s="33" t="s">
        <v>482</v>
      </c>
    </row>
    <row r="6" spans="2:11" ht="14">
      <c r="B6" s="216"/>
      <c r="C6" s="25"/>
      <c r="D6" s="35" t="s">
        <v>122</v>
      </c>
      <c r="F6" s="99" t="s">
        <v>134</v>
      </c>
      <c r="G6" s="33" t="s">
        <v>482</v>
      </c>
      <c r="H6" s="33" t="s">
        <v>482</v>
      </c>
      <c r="I6" s="45" t="s">
        <v>118</v>
      </c>
      <c r="J6" s="33" t="s">
        <v>482</v>
      </c>
    </row>
    <row r="7" spans="2:11" ht="28">
      <c r="B7" s="216"/>
      <c r="C7" s="149"/>
      <c r="D7" s="35" t="s">
        <v>488</v>
      </c>
      <c r="F7" s="99" t="s">
        <v>135</v>
      </c>
      <c r="G7" s="33" t="s">
        <v>482</v>
      </c>
      <c r="H7" s="33" t="s">
        <v>482</v>
      </c>
      <c r="I7" s="45" t="s">
        <v>118</v>
      </c>
      <c r="J7" s="33" t="s">
        <v>482</v>
      </c>
    </row>
    <row r="8" spans="2:11">
      <c r="C8" s="32"/>
      <c r="F8" s="99" t="s">
        <v>136</v>
      </c>
      <c r="G8" s="33" t="s">
        <v>482</v>
      </c>
      <c r="H8" s="33" t="s">
        <v>482</v>
      </c>
      <c r="I8" s="45" t="s">
        <v>118</v>
      </c>
      <c r="J8" s="33" t="s">
        <v>482</v>
      </c>
    </row>
    <row r="9" spans="2:11" ht="18" thickBot="1">
      <c r="B9" s="148" t="s">
        <v>26</v>
      </c>
      <c r="C9" s="147" t="s">
        <v>262</v>
      </c>
      <c r="D9" s="147" t="s">
        <v>120</v>
      </c>
      <c r="F9" s="100" t="s">
        <v>137</v>
      </c>
      <c r="G9" s="33" t="s">
        <v>482</v>
      </c>
      <c r="H9" s="33" t="s">
        <v>482</v>
      </c>
      <c r="I9" s="101" t="str">
        <f>IF(ISBLANK('1. Impact Criteria Survey '!H56),"",'1. Impact Criteria Survey '!H56)</f>
        <v/>
      </c>
      <c r="J9" s="33" t="s">
        <v>482</v>
      </c>
    </row>
    <row r="10" spans="2:11" ht="12.75" customHeight="1">
      <c r="B10" s="219" t="s">
        <v>116</v>
      </c>
      <c r="C10" s="169" t="s">
        <v>22</v>
      </c>
      <c r="D10" s="47" t="s">
        <v>265</v>
      </c>
    </row>
    <row r="11" spans="2:11" ht="26.25" customHeight="1">
      <c r="B11" s="220"/>
      <c r="C11" s="166" t="s">
        <v>259</v>
      </c>
      <c r="D11" s="150" t="s">
        <v>486</v>
      </c>
      <c r="F11" s="214" t="s">
        <v>27</v>
      </c>
      <c r="G11" s="215"/>
      <c r="H11" s="215"/>
      <c r="I11" s="215"/>
      <c r="J11" s="215"/>
    </row>
    <row r="12" spans="2:11" ht="15">
      <c r="B12" s="220"/>
      <c r="C12" s="170" t="s">
        <v>111</v>
      </c>
      <c r="D12" s="48" t="s">
        <v>263</v>
      </c>
      <c r="F12" s="92" t="s">
        <v>22</v>
      </c>
      <c r="G12" s="93" t="s">
        <v>17</v>
      </c>
      <c r="H12" s="93" t="s">
        <v>99</v>
      </c>
      <c r="I12" s="94" t="s">
        <v>158</v>
      </c>
      <c r="J12" s="95" t="s">
        <v>18</v>
      </c>
    </row>
    <row r="13" spans="2:11" ht="12.75" customHeight="1">
      <c r="B13" s="220"/>
      <c r="C13" s="170" t="s">
        <v>112</v>
      </c>
      <c r="D13" s="48" t="s">
        <v>264</v>
      </c>
      <c r="F13" s="109" t="s">
        <v>95</v>
      </c>
      <c r="G13" s="110" t="s">
        <v>478</v>
      </c>
      <c r="H13" s="110" t="s">
        <v>478</v>
      </c>
      <c r="I13" s="110" t="s">
        <v>478</v>
      </c>
      <c r="J13" s="110" t="s">
        <v>478</v>
      </c>
    </row>
    <row r="14" spans="2:11" ht="12.75" customHeight="1">
      <c r="B14" s="220"/>
      <c r="C14" s="170" t="s">
        <v>414</v>
      </c>
      <c r="D14" s="150" t="s">
        <v>483</v>
      </c>
      <c r="F14" s="99" t="s">
        <v>91</v>
      </c>
      <c r="G14" s="33" t="s">
        <v>117</v>
      </c>
      <c r="H14" s="33" t="s">
        <v>117</v>
      </c>
      <c r="I14" s="33" t="s">
        <v>117</v>
      </c>
      <c r="J14" s="33" t="s">
        <v>117</v>
      </c>
    </row>
    <row r="15" spans="2:11" ht="12.75" customHeight="1">
      <c r="B15" s="220"/>
      <c r="C15" s="170" t="s">
        <v>415</v>
      </c>
      <c r="D15" s="150" t="s">
        <v>483</v>
      </c>
      <c r="F15" s="109" t="s">
        <v>92</v>
      </c>
      <c r="G15" s="33" t="s">
        <v>117</v>
      </c>
      <c r="H15" s="33" t="s">
        <v>117</v>
      </c>
      <c r="I15" s="33" t="s">
        <v>117</v>
      </c>
      <c r="J15" s="33" t="s">
        <v>117</v>
      </c>
      <c r="K15" s="32"/>
    </row>
    <row r="16" spans="2:11" ht="28">
      <c r="B16" s="220"/>
      <c r="C16" s="170" t="s">
        <v>508</v>
      </c>
      <c r="D16" s="150" t="s">
        <v>509</v>
      </c>
      <c r="F16" s="99" t="s">
        <v>90</v>
      </c>
      <c r="G16" s="33" t="s">
        <v>117</v>
      </c>
      <c r="H16" s="33" t="s">
        <v>117</v>
      </c>
      <c r="I16" s="33" t="s">
        <v>117</v>
      </c>
      <c r="J16" s="33" t="s">
        <v>117</v>
      </c>
      <c r="K16" s="32"/>
    </row>
    <row r="17" spans="2:11" ht="28">
      <c r="B17" s="220"/>
      <c r="C17" s="167" t="s">
        <v>432</v>
      </c>
      <c r="D17" s="48" t="s">
        <v>484</v>
      </c>
      <c r="F17" s="109" t="s">
        <v>93</v>
      </c>
      <c r="G17" s="33" t="s">
        <v>117</v>
      </c>
      <c r="H17" s="33" t="s">
        <v>117</v>
      </c>
      <c r="I17" s="33" t="s">
        <v>117</v>
      </c>
      <c r="J17" s="33" t="s">
        <v>117</v>
      </c>
      <c r="K17" s="32"/>
    </row>
    <row r="18" spans="2:11" ht="12.75" customHeight="1">
      <c r="B18" s="220"/>
      <c r="C18" s="166" t="s">
        <v>451</v>
      </c>
      <c r="D18" s="150" t="s">
        <v>505</v>
      </c>
      <c r="F18" s="100" t="s">
        <v>94</v>
      </c>
      <c r="G18" s="33" t="s">
        <v>117</v>
      </c>
      <c r="H18" s="33" t="s">
        <v>117</v>
      </c>
      <c r="I18" s="33" t="s">
        <v>117</v>
      </c>
      <c r="J18" s="33" t="s">
        <v>117</v>
      </c>
      <c r="K18" s="32"/>
    </row>
    <row r="19" spans="2:11" ht="26.25" customHeight="1">
      <c r="B19" s="220"/>
      <c r="C19" s="167" t="s">
        <v>425</v>
      </c>
      <c r="D19" s="150" t="s">
        <v>487</v>
      </c>
      <c r="K19" s="32"/>
    </row>
    <row r="20" spans="2:11" ht="28">
      <c r="B20" s="220"/>
      <c r="C20" s="167" t="s">
        <v>126</v>
      </c>
      <c r="D20" s="48" t="s">
        <v>266</v>
      </c>
      <c r="F20" s="217" t="s">
        <v>477</v>
      </c>
      <c r="G20" s="218"/>
      <c r="K20" s="32"/>
    </row>
    <row r="21" spans="2:11" ht="28">
      <c r="B21" s="220"/>
      <c r="C21" s="170" t="s">
        <v>20</v>
      </c>
      <c r="D21" s="48" t="s">
        <v>267</v>
      </c>
      <c r="F21" s="157" t="s">
        <v>474</v>
      </c>
      <c r="G21" s="129" t="s">
        <v>480</v>
      </c>
      <c r="K21" s="32"/>
    </row>
    <row r="22" spans="2:11" ht="42">
      <c r="B22" s="220"/>
      <c r="C22" s="170" t="s">
        <v>423</v>
      </c>
      <c r="D22" s="48" t="s">
        <v>497</v>
      </c>
      <c r="F22" s="158" t="s">
        <v>475</v>
      </c>
      <c r="G22" s="77" t="s">
        <v>481</v>
      </c>
    </row>
    <row r="23" spans="2:11" ht="28">
      <c r="B23" s="220"/>
      <c r="C23" s="170" t="s">
        <v>0</v>
      </c>
      <c r="D23" s="48" t="s">
        <v>268</v>
      </c>
      <c r="F23" s="159" t="s">
        <v>476</v>
      </c>
      <c r="G23" s="77" t="s">
        <v>479</v>
      </c>
    </row>
    <row r="24" spans="2:11" ht="14">
      <c r="B24" s="220"/>
      <c r="C24" s="170" t="s">
        <v>100</v>
      </c>
      <c r="D24" s="48" t="s">
        <v>269</v>
      </c>
    </row>
    <row r="25" spans="2:11" ht="14">
      <c r="B25" s="220"/>
      <c r="C25" s="170" t="s">
        <v>102</v>
      </c>
      <c r="D25" s="48" t="s">
        <v>485</v>
      </c>
    </row>
    <row r="26" spans="2:11" ht="12.75" customHeight="1">
      <c r="B26" s="220"/>
      <c r="C26" s="170" t="s">
        <v>1</v>
      </c>
      <c r="D26" s="48" t="s">
        <v>270</v>
      </c>
    </row>
    <row r="27" spans="2:11" ht="13.5" customHeight="1">
      <c r="B27" s="220"/>
      <c r="C27" s="170" t="s">
        <v>2</v>
      </c>
      <c r="D27" s="48" t="s">
        <v>428</v>
      </c>
    </row>
    <row r="28" spans="2:11" ht="13.5" customHeight="1" thickBot="1">
      <c r="B28" s="221"/>
      <c r="C28" s="171" t="s">
        <v>3</v>
      </c>
      <c r="D28" s="151" t="s">
        <v>498</v>
      </c>
    </row>
    <row r="29" spans="2:11" ht="12.75" customHeight="1">
      <c r="B29" s="219" t="s">
        <v>114</v>
      </c>
      <c r="C29" s="164" t="s">
        <v>130</v>
      </c>
      <c r="D29" s="47" t="s">
        <v>271</v>
      </c>
    </row>
    <row r="30" spans="2:11" ht="12.75" customHeight="1">
      <c r="B30" s="220"/>
      <c r="C30" s="165" t="s">
        <v>28</v>
      </c>
      <c r="D30" s="48" t="s">
        <v>263</v>
      </c>
    </row>
    <row r="31" spans="2:11" ht="28">
      <c r="B31" s="220"/>
      <c r="C31" s="165" t="s">
        <v>32</v>
      </c>
      <c r="D31" s="48" t="s">
        <v>264</v>
      </c>
    </row>
    <row r="32" spans="2:11" ht="28">
      <c r="B32" s="220"/>
      <c r="C32" s="165" t="s">
        <v>33</v>
      </c>
      <c r="D32" s="48" t="s">
        <v>272</v>
      </c>
    </row>
    <row r="33" spans="2:4" ht="14">
      <c r="B33" s="220"/>
      <c r="C33" s="166" t="s">
        <v>113</v>
      </c>
      <c r="D33" s="48" t="s">
        <v>273</v>
      </c>
    </row>
    <row r="34" spans="2:4" ht="28">
      <c r="B34" s="220"/>
      <c r="C34" s="167" t="s">
        <v>127</v>
      </c>
      <c r="D34" s="48" t="s">
        <v>274</v>
      </c>
    </row>
    <row r="35" spans="2:4" ht="28">
      <c r="B35" s="220"/>
      <c r="C35" s="165" t="s">
        <v>427</v>
      </c>
      <c r="D35" s="48" t="s">
        <v>275</v>
      </c>
    </row>
    <row r="36" spans="2:4" ht="28">
      <c r="B36" s="220"/>
      <c r="C36" s="165" t="s">
        <v>34</v>
      </c>
      <c r="D36" s="48" t="s">
        <v>268</v>
      </c>
    </row>
    <row r="37" spans="2:4" ht="28">
      <c r="B37" s="220"/>
      <c r="C37" s="165" t="s">
        <v>101</v>
      </c>
      <c r="D37" s="48" t="s">
        <v>269</v>
      </c>
    </row>
    <row r="38" spans="2:4" ht="28">
      <c r="B38" s="220"/>
      <c r="C38" s="165" t="s">
        <v>417</v>
      </c>
      <c r="D38" s="48" t="s">
        <v>485</v>
      </c>
    </row>
    <row r="39" spans="2:4" ht="28">
      <c r="B39" s="220"/>
      <c r="C39" s="165" t="s">
        <v>35</v>
      </c>
      <c r="D39" s="48" t="s">
        <v>270</v>
      </c>
    </row>
    <row r="40" spans="2:4" ht="28">
      <c r="B40" s="220"/>
      <c r="C40" s="165" t="s">
        <v>37</v>
      </c>
      <c r="D40" s="48" t="s">
        <v>429</v>
      </c>
    </row>
    <row r="41" spans="2:4" ht="12.75" customHeight="1">
      <c r="B41" s="220"/>
      <c r="C41" s="165" t="s">
        <v>115</v>
      </c>
      <c r="D41" s="48" t="s">
        <v>276</v>
      </c>
    </row>
    <row r="42" spans="2:4" ht="14">
      <c r="B42" s="220"/>
      <c r="C42" s="166" t="s">
        <v>36</v>
      </c>
      <c r="D42" s="48" t="s">
        <v>277</v>
      </c>
    </row>
    <row r="43" spans="2:4" ht="13.5" customHeight="1">
      <c r="B43" s="220"/>
      <c r="C43" s="166" t="s">
        <v>107</v>
      </c>
      <c r="D43" s="48" t="s">
        <v>278</v>
      </c>
    </row>
    <row r="44" spans="2:4" ht="13.5" customHeight="1" thickBot="1">
      <c r="B44" s="221"/>
      <c r="C44" s="168" t="s">
        <v>29</v>
      </c>
      <c r="D44" s="151" t="s">
        <v>279</v>
      </c>
    </row>
    <row r="45" spans="2:4" ht="31.5" customHeight="1">
      <c r="B45" s="219" t="s">
        <v>418</v>
      </c>
      <c r="C45" s="161" t="s">
        <v>102</v>
      </c>
      <c r="D45" s="152" t="s">
        <v>489</v>
      </c>
    </row>
    <row r="46" spans="2:4" ht="13.5" customHeight="1">
      <c r="B46" s="220"/>
      <c r="C46" s="162" t="s">
        <v>30</v>
      </c>
      <c r="D46" s="150" t="s">
        <v>490</v>
      </c>
    </row>
    <row r="47" spans="2:4" ht="27" customHeight="1" thickBot="1">
      <c r="B47" s="221"/>
      <c r="C47" s="163" t="s">
        <v>31</v>
      </c>
      <c r="D47" s="153" t="s">
        <v>491</v>
      </c>
    </row>
  </sheetData>
  <sheetProtection sheet="1" objects="1" scenarios="1"/>
  <mergeCells count="7">
    <mergeCell ref="F2:J2"/>
    <mergeCell ref="F11:J11"/>
    <mergeCell ref="B2:B7"/>
    <mergeCell ref="F20:G20"/>
    <mergeCell ref="B45:B47"/>
    <mergeCell ref="B29:B44"/>
    <mergeCell ref="B10:B28"/>
  </mergeCells>
  <pageMargins left="0.7" right="0.7" top="0.75" bottom="0.75" header="0.3" footer="0.3"/>
  <pageSetup orientation="portrait" r:id="rId1"/>
  <ignoredErrors>
    <ignoredError sqref="G4:G9 H4:H9 J4:J9" calculatedColumn="1"/>
  </ignoredErrors>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1100-E161-4811-8D8E-DF07EF73F8B4}">
  <sheetPr codeName="Sheet7">
    <tabColor rgb="FF0086BF"/>
  </sheetPr>
  <dimension ref="B2:H86"/>
  <sheetViews>
    <sheetView showGridLines="0" zoomScale="104" workbookViewId="0">
      <selection activeCell="C20" sqref="C20"/>
    </sheetView>
  </sheetViews>
  <sheetFormatPr baseColWidth="10" defaultColWidth="9.1640625" defaultRowHeight="13"/>
  <cols>
    <col min="1" max="1" width="9.1640625" style="2"/>
    <col min="2" max="2" width="35" style="2" bestFit="1" customWidth="1"/>
    <col min="3" max="3" width="56.6640625" style="11" customWidth="1"/>
    <col min="4" max="4" width="50.5" style="2" customWidth="1"/>
    <col min="5" max="5" width="34.5" style="2" customWidth="1"/>
    <col min="6" max="6" width="15.5" style="2" bestFit="1" customWidth="1"/>
    <col min="7" max="7" width="17.5" style="2" bestFit="1" customWidth="1"/>
    <col min="8" max="8" width="18.5" style="2" bestFit="1" customWidth="1"/>
    <col min="9" max="16384" width="9.1640625" style="2"/>
  </cols>
  <sheetData>
    <row r="2" spans="2:5" ht="10.5" customHeight="1">
      <c r="B2" s="20"/>
      <c r="C2" s="154"/>
      <c r="D2" s="20"/>
      <c r="E2" s="20"/>
    </row>
    <row r="4" spans="2:5" ht="14">
      <c r="B4" s="31" t="s">
        <v>420</v>
      </c>
      <c r="C4" s="35" t="s">
        <v>421</v>
      </c>
    </row>
    <row r="6" spans="2:5">
      <c r="B6" s="6" t="s">
        <v>420</v>
      </c>
    </row>
    <row r="7" spans="2:5">
      <c r="B7" s="8" t="s">
        <v>92</v>
      </c>
    </row>
    <row r="8" spans="2:5">
      <c r="B8" s="8" t="s">
        <v>90</v>
      </c>
    </row>
    <row r="9" spans="2:5">
      <c r="B9" s="8" t="s">
        <v>91</v>
      </c>
    </row>
    <row r="10" spans="2:5">
      <c r="B10" s="8" t="s">
        <v>95</v>
      </c>
    </row>
    <row r="11" spans="2:5">
      <c r="B11" s="8" t="s">
        <v>93</v>
      </c>
    </row>
    <row r="12" spans="2:5">
      <c r="B12" s="8" t="s">
        <v>94</v>
      </c>
    </row>
    <row r="14" spans="2:5" ht="10.5" customHeight="1">
      <c r="B14" s="20"/>
      <c r="C14" s="154"/>
      <c r="D14" s="20"/>
      <c r="E14" s="20"/>
    </row>
    <row r="16" spans="2:5" ht="28">
      <c r="B16" s="31" t="s">
        <v>129</v>
      </c>
      <c r="C16" s="35" t="s">
        <v>128</v>
      </c>
    </row>
    <row r="18" spans="2:5" ht="14">
      <c r="B18" s="6" t="s">
        <v>129</v>
      </c>
      <c r="C18" s="21" t="s">
        <v>4</v>
      </c>
    </row>
    <row r="19" spans="2:5" ht="14">
      <c r="B19" s="6">
        <v>1</v>
      </c>
      <c r="C19" s="7" t="s">
        <v>108</v>
      </c>
    </row>
    <row r="20" spans="2:5" ht="28">
      <c r="B20" s="6">
        <v>2</v>
      </c>
      <c r="C20" s="7" t="s">
        <v>109</v>
      </c>
    </row>
    <row r="21" spans="2:5" ht="14">
      <c r="B21" s="6">
        <v>3</v>
      </c>
      <c r="C21" s="7" t="s">
        <v>110</v>
      </c>
    </row>
    <row r="22" spans="2:5" ht="14">
      <c r="B22" s="6">
        <v>4</v>
      </c>
      <c r="C22" s="7" t="s">
        <v>131</v>
      </c>
    </row>
    <row r="23" spans="2:5" ht="28">
      <c r="B23" s="6">
        <v>5</v>
      </c>
      <c r="C23" s="7" t="s">
        <v>132</v>
      </c>
    </row>
    <row r="24" spans="2:5">
      <c r="B24" s="6"/>
      <c r="C24" s="7"/>
    </row>
    <row r="25" spans="2:5" ht="10.5" customHeight="1">
      <c r="B25" s="20"/>
      <c r="C25" s="154"/>
      <c r="D25" s="20"/>
      <c r="E25" s="20"/>
    </row>
    <row r="26" spans="2:5">
      <c r="B26" s="6"/>
      <c r="C26" s="7"/>
    </row>
    <row r="27" spans="2:5" ht="28">
      <c r="B27" s="31" t="s">
        <v>422</v>
      </c>
      <c r="C27" s="35" t="s">
        <v>431</v>
      </c>
    </row>
    <row r="29" spans="2:5" ht="14">
      <c r="B29" s="6" t="s">
        <v>430</v>
      </c>
      <c r="C29" s="21" t="s">
        <v>424</v>
      </c>
      <c r="D29" s="6" t="s">
        <v>234</v>
      </c>
    </row>
    <row r="30" spans="2:5" ht="14">
      <c r="B30" s="6">
        <v>1</v>
      </c>
      <c r="C30" s="7" t="s">
        <v>235</v>
      </c>
      <c r="D30" s="7" t="s">
        <v>460</v>
      </c>
    </row>
    <row r="31" spans="2:5" ht="28">
      <c r="B31" s="6">
        <v>2</v>
      </c>
      <c r="C31" s="7" t="s">
        <v>236</v>
      </c>
      <c r="D31" s="7" t="s">
        <v>461</v>
      </c>
    </row>
    <row r="32" spans="2:5" ht="28">
      <c r="B32" s="6">
        <v>3</v>
      </c>
      <c r="C32" s="7" t="s">
        <v>237</v>
      </c>
      <c r="D32" s="7" t="s">
        <v>462</v>
      </c>
    </row>
    <row r="33" spans="2:8" ht="14">
      <c r="B33" s="6">
        <v>4</v>
      </c>
      <c r="C33" s="7" t="s">
        <v>238</v>
      </c>
      <c r="D33" s="7" t="s">
        <v>463</v>
      </c>
    </row>
    <row r="34" spans="2:8" ht="14">
      <c r="B34" s="6">
        <v>5</v>
      </c>
      <c r="C34" s="7" t="s">
        <v>239</v>
      </c>
      <c r="D34" s="7" t="s">
        <v>464</v>
      </c>
    </row>
    <row r="36" spans="2:8" ht="10.5" customHeight="1">
      <c r="B36" s="20"/>
      <c r="C36" s="154"/>
      <c r="D36" s="20"/>
      <c r="E36" s="20"/>
    </row>
    <row r="38" spans="2:8" ht="14">
      <c r="B38" s="155" t="s">
        <v>8</v>
      </c>
      <c r="C38" s="156" t="s">
        <v>123</v>
      </c>
    </row>
    <row r="40" spans="2:8" ht="14">
      <c r="B40" s="21" t="s">
        <v>7</v>
      </c>
      <c r="C40" s="21" t="s">
        <v>8</v>
      </c>
    </row>
    <row r="41" spans="2:8" ht="38.75" customHeight="1">
      <c r="B41" s="7" t="str">
        <f>IF(AcceptableRisk&gt;0, "&lt; " &amp; AcceptableRisk, "Complete the Risk Acceptance Criteria table in Enterprise Parameters")</f>
        <v>&lt; 9</v>
      </c>
      <c r="C41" s="7" t="str">
        <f>IF(AcceptableRisk&gt;0, "All scores lower than '" &amp; AcceptableRisk &amp; "' may be automatically accepted. All other risks must be reduced.","Complete the Risk Acceptance Criteria table in Enterprise parameters.")</f>
        <v>All scores lower than '9' may be automatically accepted. All other risks must be reduced.</v>
      </c>
      <c r="H41" s="160"/>
    </row>
    <row r="43" spans="2:8" ht="10.5" customHeight="1">
      <c r="B43" s="20"/>
      <c r="C43" s="154"/>
      <c r="D43" s="20"/>
      <c r="E43" s="20"/>
    </row>
    <row r="45" spans="2:8" ht="14">
      <c r="B45" s="31" t="s">
        <v>20</v>
      </c>
      <c r="C45" s="35" t="s">
        <v>124</v>
      </c>
    </row>
    <row r="47" spans="2:8">
      <c r="B47" s="67" t="s">
        <v>103</v>
      </c>
      <c r="C47" s="74">
        <v>8893</v>
      </c>
      <c r="D47" s="67" t="s">
        <v>104</v>
      </c>
      <c r="E47" s="68">
        <v>44406</v>
      </c>
    </row>
    <row r="48" spans="2:8" ht="14">
      <c r="B48" s="6" t="s">
        <v>22</v>
      </c>
      <c r="C48" s="21" t="s">
        <v>9</v>
      </c>
      <c r="D48" s="6" t="s">
        <v>10</v>
      </c>
      <c r="E48" s="6" t="s">
        <v>12</v>
      </c>
    </row>
    <row r="49" spans="2:5">
      <c r="B49" s="8" t="s">
        <v>95</v>
      </c>
      <c r="C49" s="21">
        <f>MAX(C50:C55)</f>
        <v>4458</v>
      </c>
      <c r="D49" s="69">
        <f>tblVCDBIndex[[#This Row],[Sum of Threat Count / Industry]]/$C$47</f>
        <v>0.50129315191723822</v>
      </c>
      <c r="E49" s="6">
        <f>IF(tblVCDBIndex[[#This Row],[Percentage]]&gt;=0.5,3,IF(tblVCDBIndex[[#This Row],[Percentage]]&gt;=0.1,2,1))</f>
        <v>3</v>
      </c>
    </row>
    <row r="50" spans="2:5" ht="14">
      <c r="B50" s="14" t="s">
        <v>92</v>
      </c>
      <c r="C50" s="21">
        <v>1253</v>
      </c>
      <c r="D50" s="69">
        <f>tblVCDBIndex[[#This Row],[Sum of Threat Count / Industry]]/$C$47</f>
        <v>0.14089733498257057</v>
      </c>
      <c r="E50" s="6">
        <f>IF(tblVCDBIndex[[#This Row],[Percentage]]&gt;=0.5,3,IF(tblVCDBIndex[[#This Row],[Percentage]]&gt;=0.1,2,1))</f>
        <v>2</v>
      </c>
    </row>
    <row r="51" spans="2:5">
      <c r="B51" s="2" t="s">
        <v>90</v>
      </c>
      <c r="C51" s="21">
        <v>4458</v>
      </c>
      <c r="D51" s="70">
        <f>tblVCDBIndex[[#This Row],[Sum of Threat Count / Industry]]/$C$47</f>
        <v>0.50129315191723822</v>
      </c>
      <c r="E51" s="6">
        <f>IF(tblVCDBIndex[[#This Row],[Percentage]]&gt;=0.5,3,IF(tblVCDBIndex[[#This Row],[Percentage]]&gt;=0.1,2,1))</f>
        <v>3</v>
      </c>
    </row>
    <row r="52" spans="2:5">
      <c r="B52" s="2" t="s">
        <v>91</v>
      </c>
      <c r="C52" s="21">
        <v>798</v>
      </c>
      <c r="D52" s="69">
        <f>tblVCDBIndex[[#This Row],[Sum of Threat Count / Industry]]/$C$47</f>
        <v>8.9733498257056107E-2</v>
      </c>
      <c r="E52" s="6">
        <f>IF(tblVCDBIndex[[#This Row],[Percentage]]&gt;=0.5,3,IF(tblVCDBIndex[[#This Row],[Percentage]]&gt;=0.1,2,1))</f>
        <v>1</v>
      </c>
    </row>
    <row r="53" spans="2:5">
      <c r="B53" s="2" t="s">
        <v>93</v>
      </c>
      <c r="C53" s="21">
        <v>62</v>
      </c>
      <c r="D53" s="69">
        <f>tblVCDBIndex[[#This Row],[Sum of Threat Count / Industry]]/$C$47</f>
        <v>6.9717755538063649E-3</v>
      </c>
      <c r="E53" s="6">
        <f>IF(tblVCDBIndex[[#This Row],[Percentage]]&gt;=0.5,3,IF(tblVCDBIndex[[#This Row],[Percentage]]&gt;=0.1,2,1))</f>
        <v>1</v>
      </c>
    </row>
    <row r="54" spans="2:5">
      <c r="B54" s="2" t="s">
        <v>94</v>
      </c>
      <c r="C54" s="21">
        <v>4458</v>
      </c>
      <c r="D54" s="69">
        <f>tblVCDBIndex[[#This Row],[Sum of Threat Count / Industry]]/$C$47</f>
        <v>0.50129315191723822</v>
      </c>
      <c r="E54" s="6">
        <f>IF(tblVCDBIndex[[#This Row],[Percentage]]&gt;=0.5,3,IF(tblVCDBIndex[[#This Row],[Percentage]]&gt;=0.1,2,1))</f>
        <v>3</v>
      </c>
    </row>
    <row r="55" spans="2:5">
      <c r="B55" s="2" t="s">
        <v>106</v>
      </c>
      <c r="C55" s="21">
        <v>863</v>
      </c>
      <c r="D55" s="69">
        <f>tblVCDBIndex[[#This Row],[Sum of Threat Count / Industry]]/$C$47</f>
        <v>9.7042617789272465E-2</v>
      </c>
      <c r="E55" s="6">
        <f>IF(tblVCDBIndex[[#This Row],[Percentage]]&gt;=0.5,3,IF(tblVCDBIndex[[#This Row],[Percentage]]&gt;=0.1,2,1))</f>
        <v>1</v>
      </c>
    </row>
    <row r="57" spans="2:5">
      <c r="B57" s="20"/>
      <c r="C57" s="154"/>
      <c r="D57" s="20"/>
      <c r="E57" s="20"/>
    </row>
    <row r="59" spans="2:5" ht="28">
      <c r="B59" s="31" t="s">
        <v>21</v>
      </c>
      <c r="C59" s="35" t="s">
        <v>496</v>
      </c>
    </row>
    <row r="61" spans="2:5" ht="10.5" customHeight="1">
      <c r="B61" s="6" t="s">
        <v>105</v>
      </c>
      <c r="C61" s="21" t="s">
        <v>11</v>
      </c>
      <c r="D61" s="6" t="s">
        <v>20</v>
      </c>
      <c r="E61" s="6" t="s">
        <v>424</v>
      </c>
    </row>
    <row r="62" spans="2:5">
      <c r="B62" s="6">
        <v>51</v>
      </c>
      <c r="C62" s="21">
        <v>5</v>
      </c>
      <c r="D62" s="6">
        <v>1</v>
      </c>
      <c r="E62" s="6">
        <v>1</v>
      </c>
    </row>
    <row r="63" spans="2:5">
      <c r="B63" s="6">
        <v>52</v>
      </c>
      <c r="C63" s="21">
        <v>5</v>
      </c>
      <c r="D63" s="6">
        <v>2</v>
      </c>
      <c r="E63" s="6">
        <v>1</v>
      </c>
    </row>
    <row r="64" spans="2:5">
      <c r="B64" s="6">
        <v>53</v>
      </c>
      <c r="C64" s="21">
        <v>5</v>
      </c>
      <c r="D64" s="6">
        <v>3</v>
      </c>
      <c r="E64" s="6">
        <v>1</v>
      </c>
    </row>
    <row r="65" spans="2:5">
      <c r="B65" s="6">
        <v>54</v>
      </c>
      <c r="C65" s="21">
        <v>5</v>
      </c>
      <c r="D65" s="6">
        <v>4</v>
      </c>
      <c r="E65" s="6">
        <v>2</v>
      </c>
    </row>
    <row r="66" spans="2:5">
      <c r="B66" s="6">
        <v>55</v>
      </c>
      <c r="C66" s="21">
        <v>5</v>
      </c>
      <c r="D66" s="6">
        <v>5</v>
      </c>
      <c r="E66" s="6">
        <v>2</v>
      </c>
    </row>
    <row r="67" spans="2:5">
      <c r="B67" s="6">
        <v>41</v>
      </c>
      <c r="C67" s="21">
        <v>4</v>
      </c>
      <c r="D67" s="6">
        <v>1</v>
      </c>
      <c r="E67" s="6">
        <v>1</v>
      </c>
    </row>
    <row r="68" spans="2:5">
      <c r="B68" s="6">
        <v>42</v>
      </c>
      <c r="C68" s="21">
        <v>4</v>
      </c>
      <c r="D68" s="6">
        <v>2</v>
      </c>
      <c r="E68" s="6">
        <v>2</v>
      </c>
    </row>
    <row r="69" spans="2:5">
      <c r="B69" s="6">
        <v>43</v>
      </c>
      <c r="C69" s="21">
        <v>4</v>
      </c>
      <c r="D69" s="6">
        <v>3</v>
      </c>
      <c r="E69" s="6">
        <v>2</v>
      </c>
    </row>
    <row r="70" spans="2:5">
      <c r="B70" s="6">
        <v>44</v>
      </c>
      <c r="C70" s="21">
        <v>4</v>
      </c>
      <c r="D70" s="6">
        <v>4</v>
      </c>
      <c r="E70" s="6">
        <v>3</v>
      </c>
    </row>
    <row r="71" spans="2:5">
      <c r="B71" s="6">
        <v>45</v>
      </c>
      <c r="C71" s="21">
        <v>4</v>
      </c>
      <c r="D71" s="6">
        <v>5</v>
      </c>
      <c r="E71" s="6">
        <v>3</v>
      </c>
    </row>
    <row r="72" spans="2:5">
      <c r="B72" s="6">
        <v>31</v>
      </c>
      <c r="C72" s="21">
        <v>3</v>
      </c>
      <c r="D72" s="6">
        <v>1</v>
      </c>
      <c r="E72" s="6">
        <v>1</v>
      </c>
    </row>
    <row r="73" spans="2:5">
      <c r="B73" s="6">
        <v>32</v>
      </c>
      <c r="C73" s="21">
        <v>3</v>
      </c>
      <c r="D73" s="6">
        <v>2</v>
      </c>
      <c r="E73" s="6">
        <v>2</v>
      </c>
    </row>
    <row r="74" spans="2:5">
      <c r="B74" s="6">
        <v>33</v>
      </c>
      <c r="C74" s="21">
        <v>3</v>
      </c>
      <c r="D74" s="6">
        <v>3</v>
      </c>
      <c r="E74" s="6">
        <v>3</v>
      </c>
    </row>
    <row r="75" spans="2:5">
      <c r="B75" s="6">
        <v>34</v>
      </c>
      <c r="C75" s="21">
        <v>3</v>
      </c>
      <c r="D75" s="6">
        <v>4</v>
      </c>
      <c r="E75" s="6">
        <v>4</v>
      </c>
    </row>
    <row r="76" spans="2:5">
      <c r="B76" s="6">
        <v>35</v>
      </c>
      <c r="C76" s="21">
        <v>3</v>
      </c>
      <c r="D76" s="6">
        <v>5</v>
      </c>
      <c r="E76" s="6">
        <v>5</v>
      </c>
    </row>
    <row r="77" spans="2:5">
      <c r="B77" s="6">
        <v>21</v>
      </c>
      <c r="C77" s="21">
        <v>2</v>
      </c>
      <c r="D77" s="6">
        <v>1</v>
      </c>
      <c r="E77" s="6">
        <v>3</v>
      </c>
    </row>
    <row r="78" spans="2:5">
      <c r="B78" s="6">
        <v>22</v>
      </c>
      <c r="C78" s="21">
        <v>2</v>
      </c>
      <c r="D78" s="6">
        <v>2</v>
      </c>
      <c r="E78" s="6">
        <v>3</v>
      </c>
    </row>
    <row r="79" spans="2:5">
      <c r="B79" s="6">
        <v>23</v>
      </c>
      <c r="C79" s="21">
        <v>2</v>
      </c>
      <c r="D79" s="6">
        <v>3</v>
      </c>
      <c r="E79" s="6">
        <v>4</v>
      </c>
    </row>
    <row r="80" spans="2:5">
      <c r="B80" s="6">
        <v>24</v>
      </c>
      <c r="C80" s="21">
        <v>2</v>
      </c>
      <c r="D80" s="6">
        <v>4</v>
      </c>
      <c r="E80" s="6">
        <v>4</v>
      </c>
    </row>
    <row r="81" spans="2:5">
      <c r="B81" s="6">
        <v>25</v>
      </c>
      <c r="C81" s="21">
        <v>2</v>
      </c>
      <c r="D81" s="6">
        <v>5</v>
      </c>
      <c r="E81" s="6">
        <v>5</v>
      </c>
    </row>
    <row r="82" spans="2:5">
      <c r="B82" s="6">
        <v>11</v>
      </c>
      <c r="C82" s="21">
        <v>1</v>
      </c>
      <c r="D82" s="6">
        <v>1</v>
      </c>
      <c r="E82" s="6">
        <v>4</v>
      </c>
    </row>
    <row r="83" spans="2:5">
      <c r="B83" s="6">
        <v>12</v>
      </c>
      <c r="C83" s="21">
        <v>1</v>
      </c>
      <c r="D83" s="6">
        <v>2</v>
      </c>
      <c r="E83" s="6">
        <v>4</v>
      </c>
    </row>
    <row r="84" spans="2:5">
      <c r="B84" s="6">
        <v>13</v>
      </c>
      <c r="C84" s="21">
        <v>1</v>
      </c>
      <c r="D84" s="6">
        <v>3</v>
      </c>
      <c r="E84" s="6">
        <v>5</v>
      </c>
    </row>
    <row r="85" spans="2:5">
      <c r="B85" s="6">
        <v>14</v>
      </c>
      <c r="C85" s="21">
        <v>1</v>
      </c>
      <c r="D85" s="6">
        <v>4</v>
      </c>
      <c r="E85" s="6">
        <v>5</v>
      </c>
    </row>
    <row r="86" spans="2:5">
      <c r="B86" s="6">
        <v>15</v>
      </c>
      <c r="C86" s="21">
        <v>1</v>
      </c>
      <c r="D86" s="6">
        <v>5</v>
      </c>
      <c r="E86" s="6">
        <v>5</v>
      </c>
    </row>
  </sheetData>
  <sheetProtection sheet="1" objects="1" scenarios="1"/>
  <dataValidations count="1">
    <dataValidation type="list" allowBlank="1" showInputMessage="1" showErrorMessage="1" sqref="B50" xr:uid="{E97CA396-3BF4-4441-B7BF-A8433F33ACCE}">
      <formula1>Asset_Class</formula1>
    </dataValidation>
  </dataValidations>
  <pageMargins left="0.7" right="0.7" top="0.75" bottom="0.75" header="0.3" footer="0.3"/>
  <pageSetup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8A94-4ACC-47B0-8528-297945FD8928}">
  <sheetPr codeName="Sheet2">
    <tabColor rgb="FFFF0000"/>
  </sheetPr>
  <dimension ref="B1:O50"/>
  <sheetViews>
    <sheetView showGridLines="0" topLeftCell="A129" zoomScaleNormal="100" workbookViewId="0">
      <selection activeCell="B2" sqref="B2"/>
    </sheetView>
  </sheetViews>
  <sheetFormatPr baseColWidth="10" defaultColWidth="9.1640625" defaultRowHeight="14"/>
  <cols>
    <col min="1" max="1" width="9.1640625" style="28"/>
    <col min="2" max="2" width="9.1640625" style="118"/>
    <col min="3" max="3" width="22.6640625" style="7" customWidth="1"/>
    <col min="4" max="4" width="58" style="7" customWidth="1"/>
    <col min="5" max="5" width="47" style="7" customWidth="1"/>
    <col min="6" max="15" width="9.1640625" style="2"/>
    <col min="16" max="16384" width="9.1640625" style="28"/>
  </cols>
  <sheetData>
    <row r="1" spans="2:15" ht="15">
      <c r="D1" s="76" t="s">
        <v>156</v>
      </c>
      <c r="E1" s="85" t="s">
        <v>453</v>
      </c>
    </row>
    <row r="2" spans="2:15" ht="43" thickBot="1">
      <c r="B2" s="78">
        <v>1</v>
      </c>
      <c r="C2" s="78" t="s">
        <v>6</v>
      </c>
      <c r="D2" s="62" t="s">
        <v>452</v>
      </c>
      <c r="E2" s="34" t="s">
        <v>467</v>
      </c>
    </row>
    <row r="3" spans="2:15" ht="15" thickTop="1"/>
    <row r="4" spans="2:15" ht="32.25" customHeight="1">
      <c r="C4" s="186" t="s">
        <v>280</v>
      </c>
      <c r="D4" s="187"/>
      <c r="E4" s="188"/>
      <c r="H4" s="222" t="s">
        <v>468</v>
      </c>
      <c r="I4" s="222"/>
      <c r="J4" s="222"/>
      <c r="K4" s="222"/>
      <c r="L4" s="222"/>
      <c r="M4" s="222"/>
      <c r="N4" s="222"/>
      <c r="O4" s="222"/>
    </row>
    <row r="5" spans="2:15">
      <c r="H5" s="222"/>
      <c r="I5" s="222"/>
      <c r="J5" s="222"/>
      <c r="K5" s="222"/>
      <c r="L5" s="222"/>
      <c r="M5" s="222"/>
      <c r="N5" s="222"/>
      <c r="O5" s="222"/>
    </row>
    <row r="6" spans="2:15" ht="14.25" customHeight="1">
      <c r="C6" s="81" t="s">
        <v>243</v>
      </c>
      <c r="D6" s="81" t="s">
        <v>156</v>
      </c>
      <c r="E6" s="81" t="s">
        <v>453</v>
      </c>
      <c r="H6" s="222"/>
      <c r="I6" s="222"/>
      <c r="J6" s="222"/>
      <c r="K6" s="222"/>
      <c r="L6" s="222"/>
      <c r="M6" s="222"/>
      <c r="N6" s="222"/>
      <c r="O6" s="222"/>
    </row>
    <row r="7" spans="2:15" ht="28">
      <c r="C7" s="119" t="s">
        <v>157</v>
      </c>
      <c r="D7" s="62" t="s">
        <v>141</v>
      </c>
      <c r="E7" s="74" t="s">
        <v>244</v>
      </c>
    </row>
    <row r="8" spans="2:15" ht="42">
      <c r="C8" s="119" t="s">
        <v>138</v>
      </c>
      <c r="D8" s="62" t="s">
        <v>142</v>
      </c>
      <c r="E8" s="74" t="s">
        <v>246</v>
      </c>
    </row>
    <row r="9" spans="2:15" ht="42">
      <c r="C9" s="119" t="s">
        <v>139</v>
      </c>
      <c r="D9" s="62" t="s">
        <v>144</v>
      </c>
      <c r="E9" s="74" t="s">
        <v>247</v>
      </c>
    </row>
    <row r="10" spans="2:15" ht="56">
      <c r="C10" s="119" t="s">
        <v>140</v>
      </c>
      <c r="D10" s="62" t="s">
        <v>143</v>
      </c>
      <c r="E10" s="74" t="s">
        <v>248</v>
      </c>
    </row>
    <row r="11" spans="2:15" ht="28">
      <c r="C11" s="119" t="s">
        <v>145</v>
      </c>
      <c r="D11" s="62" t="s">
        <v>454</v>
      </c>
      <c r="E11" s="74" t="s">
        <v>245</v>
      </c>
    </row>
    <row r="12" spans="2:15">
      <c r="C12" s="120"/>
      <c r="D12" s="121"/>
    </row>
    <row r="13" spans="2:15" s="53" customFormat="1" ht="13">
      <c r="B13" s="118"/>
      <c r="C13" s="61"/>
      <c r="D13" s="61"/>
      <c r="E13" s="60"/>
      <c r="F13" s="2"/>
      <c r="G13" s="2"/>
      <c r="H13" s="2"/>
      <c r="I13" s="2"/>
      <c r="J13" s="2"/>
      <c r="K13" s="2"/>
      <c r="L13" s="2"/>
      <c r="M13" s="2"/>
      <c r="N13" s="2"/>
      <c r="O13" s="2"/>
    </row>
    <row r="14" spans="2:15" ht="15">
      <c r="D14" s="76" t="s">
        <v>156</v>
      </c>
      <c r="E14" s="85" t="s">
        <v>453</v>
      </c>
    </row>
    <row r="15" spans="2:15" ht="45" customHeight="1" thickBot="1">
      <c r="B15" s="78">
        <v>2</v>
      </c>
      <c r="C15" s="78" t="s">
        <v>97</v>
      </c>
      <c r="D15" s="62" t="s">
        <v>146</v>
      </c>
      <c r="E15" s="34" t="s">
        <v>242</v>
      </c>
    </row>
    <row r="16" spans="2:15" ht="15" thickTop="1"/>
    <row r="17" spans="2:15" ht="32.25" customHeight="1">
      <c r="C17" s="186" t="s">
        <v>281</v>
      </c>
      <c r="D17" s="187"/>
      <c r="E17" s="188"/>
    </row>
    <row r="19" spans="2:15" ht="15">
      <c r="C19" s="81" t="s">
        <v>243</v>
      </c>
      <c r="D19" s="81" t="s">
        <v>156</v>
      </c>
      <c r="E19" s="81" t="s">
        <v>453</v>
      </c>
    </row>
    <row r="20" spans="2:15" ht="28">
      <c r="C20" s="119" t="s">
        <v>157</v>
      </c>
      <c r="D20" s="62" t="s">
        <v>148</v>
      </c>
      <c r="E20" s="74" t="s">
        <v>251</v>
      </c>
    </row>
    <row r="21" spans="2:15" ht="28">
      <c r="C21" s="119" t="s">
        <v>138</v>
      </c>
      <c r="D21" s="62" t="s">
        <v>149</v>
      </c>
      <c r="E21" s="74" t="s">
        <v>252</v>
      </c>
    </row>
    <row r="22" spans="2:15" ht="56">
      <c r="C22" s="119" t="s">
        <v>139</v>
      </c>
      <c r="D22" s="62" t="s">
        <v>150</v>
      </c>
      <c r="E22" s="74" t="s">
        <v>253</v>
      </c>
    </row>
    <row r="23" spans="2:15" ht="42">
      <c r="C23" s="119" t="s">
        <v>140</v>
      </c>
      <c r="D23" s="62" t="s">
        <v>151</v>
      </c>
      <c r="E23" s="74" t="s">
        <v>254</v>
      </c>
    </row>
    <row r="24" spans="2:15" ht="42">
      <c r="C24" s="119" t="s">
        <v>145</v>
      </c>
      <c r="D24" s="62" t="s">
        <v>455</v>
      </c>
      <c r="E24" s="74" t="s">
        <v>255</v>
      </c>
    </row>
    <row r="26" spans="2:15" s="53" customFormat="1" ht="13">
      <c r="B26" s="118"/>
      <c r="C26" s="61"/>
      <c r="D26" s="61"/>
      <c r="E26" s="61"/>
      <c r="F26" s="2"/>
      <c r="G26" s="2"/>
      <c r="H26" s="2"/>
      <c r="I26" s="2"/>
      <c r="J26" s="2"/>
      <c r="K26" s="2"/>
      <c r="L26" s="2"/>
      <c r="M26" s="2"/>
      <c r="N26" s="2"/>
      <c r="O26" s="2"/>
    </row>
    <row r="27" spans="2:15" ht="15">
      <c r="D27" s="76" t="s">
        <v>156</v>
      </c>
      <c r="E27" s="85" t="s">
        <v>453</v>
      </c>
    </row>
    <row r="28" spans="2:15" ht="45" customHeight="1">
      <c r="B28" s="83">
        <v>3</v>
      </c>
      <c r="C28" s="83" t="s">
        <v>98</v>
      </c>
      <c r="D28" s="62" t="s">
        <v>147</v>
      </c>
      <c r="E28" s="34" t="s">
        <v>249</v>
      </c>
    </row>
    <row r="30" spans="2:15" ht="32.25" customHeight="1">
      <c r="C30" s="186" t="s">
        <v>282</v>
      </c>
      <c r="D30" s="187"/>
      <c r="E30" s="188"/>
    </row>
    <row r="32" spans="2:15" ht="15">
      <c r="C32" s="81" t="s">
        <v>243</v>
      </c>
      <c r="D32" s="81" t="s">
        <v>156</v>
      </c>
      <c r="E32" s="81" t="s">
        <v>453</v>
      </c>
    </row>
    <row r="33" spans="2:15" ht="28">
      <c r="C33" s="119" t="s">
        <v>157</v>
      </c>
      <c r="D33" s="82" t="s">
        <v>152</v>
      </c>
      <c r="E33" s="122">
        <v>1000</v>
      </c>
    </row>
    <row r="34" spans="2:15" ht="28">
      <c r="C34" s="119" t="s">
        <v>138</v>
      </c>
      <c r="D34" s="82" t="s">
        <v>153</v>
      </c>
      <c r="E34" s="122">
        <v>10000</v>
      </c>
    </row>
    <row r="35" spans="2:15" ht="56">
      <c r="C35" s="119" t="s">
        <v>139</v>
      </c>
      <c r="D35" s="82" t="s">
        <v>154</v>
      </c>
      <c r="E35" s="122">
        <v>500000</v>
      </c>
    </row>
    <row r="36" spans="2:15" ht="42">
      <c r="C36" s="119" t="s">
        <v>140</v>
      </c>
      <c r="D36" s="82" t="s">
        <v>155</v>
      </c>
      <c r="E36" s="122">
        <v>5000000</v>
      </c>
    </row>
    <row r="37" spans="2:15">
      <c r="C37" s="119" t="s">
        <v>145</v>
      </c>
      <c r="D37" s="82" t="s">
        <v>250</v>
      </c>
      <c r="E37" s="84"/>
    </row>
    <row r="39" spans="2:15" s="53" customFormat="1" ht="13">
      <c r="B39" s="118"/>
      <c r="C39" s="61"/>
      <c r="D39" s="61"/>
      <c r="E39" s="61"/>
      <c r="F39" s="2"/>
      <c r="G39" s="2"/>
      <c r="H39" s="2"/>
      <c r="I39" s="2"/>
      <c r="J39" s="2"/>
      <c r="K39" s="2"/>
      <c r="L39" s="2"/>
      <c r="M39" s="2"/>
      <c r="N39" s="2"/>
      <c r="O39" s="2"/>
    </row>
    <row r="40" spans="2:15" ht="15">
      <c r="D40" s="76" t="s">
        <v>156</v>
      </c>
      <c r="E40" s="85" t="s">
        <v>453</v>
      </c>
    </row>
    <row r="41" spans="2:15" ht="45" customHeight="1" thickBot="1">
      <c r="B41" s="78">
        <v>4</v>
      </c>
      <c r="C41" s="78" t="s">
        <v>23</v>
      </c>
      <c r="D41" s="62" t="s">
        <v>456</v>
      </c>
      <c r="E41" s="34" t="s">
        <v>257</v>
      </c>
    </row>
    <row r="42" spans="2:15" ht="15" thickTop="1"/>
    <row r="43" spans="2:15" ht="32.25" customHeight="1">
      <c r="C43" s="186" t="s">
        <v>283</v>
      </c>
      <c r="D43" s="187"/>
      <c r="E43" s="188"/>
    </row>
    <row r="45" spans="2:15" ht="15">
      <c r="C45" s="81" t="s">
        <v>243</v>
      </c>
      <c r="D45" s="81" t="s">
        <v>156</v>
      </c>
      <c r="E45" s="81" t="s">
        <v>453</v>
      </c>
    </row>
    <row r="46" spans="2:15" ht="28">
      <c r="C46" s="119" t="s">
        <v>157</v>
      </c>
      <c r="D46" s="62" t="s">
        <v>258</v>
      </c>
      <c r="E46" s="74" t="s">
        <v>469</v>
      </c>
    </row>
    <row r="47" spans="2:15" ht="28">
      <c r="C47" s="119" t="s">
        <v>138</v>
      </c>
      <c r="D47" s="62" t="s">
        <v>457</v>
      </c>
      <c r="E47" s="74" t="s">
        <v>470</v>
      </c>
    </row>
    <row r="48" spans="2:15" ht="44.75" customHeight="1">
      <c r="C48" s="119" t="s">
        <v>139</v>
      </c>
      <c r="D48" s="62" t="s">
        <v>256</v>
      </c>
      <c r="E48" s="74" t="s">
        <v>471</v>
      </c>
    </row>
    <row r="49" spans="3:5" ht="56">
      <c r="C49" s="119" t="s">
        <v>140</v>
      </c>
      <c r="D49" s="62" t="s">
        <v>458</v>
      </c>
      <c r="E49" s="74" t="s">
        <v>472</v>
      </c>
    </row>
    <row r="50" spans="3:5" ht="28">
      <c r="C50" s="119" t="s">
        <v>145</v>
      </c>
      <c r="D50" s="62" t="s">
        <v>459</v>
      </c>
      <c r="E50" s="74" t="s">
        <v>473</v>
      </c>
    </row>
  </sheetData>
  <sheetProtection sheet="1" objects="1" scenarios="1"/>
  <mergeCells count="5">
    <mergeCell ref="C4:E4"/>
    <mergeCell ref="C17:E17"/>
    <mergeCell ref="C30:E30"/>
    <mergeCell ref="C43:E43"/>
    <mergeCell ref="H4:O6"/>
  </mergeCells>
  <pageMargins left="0.7" right="0.7" top="0.75" bottom="0.75" header="0.3" footer="0.3"/>
  <pageSetup orientation="portrait" r:id="rId1"/>
  <legacyDrawing r:id="rId2"/>
  <tableParts count="4">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B8DA8-23C4-4DF3-BE2D-A7ABDCB0601D}">
  <sheetPr codeName="Sheet5">
    <tabColor rgb="FFFF0000"/>
  </sheetPr>
  <dimension ref="B1:G48"/>
  <sheetViews>
    <sheetView showGridLines="0" zoomScaleNormal="100" workbookViewId="0">
      <selection activeCell="B2" sqref="B2:B4"/>
    </sheetView>
  </sheetViews>
  <sheetFormatPr baseColWidth="10" defaultColWidth="8.83203125" defaultRowHeight="15"/>
  <cols>
    <col min="1" max="1" width="4.1640625" customWidth="1"/>
    <col min="2" max="2" width="8.6640625" style="91" customWidth="1"/>
    <col min="3" max="3" width="41.1640625" customWidth="1"/>
    <col min="4" max="7" width="46.83203125" style="49" customWidth="1"/>
  </cols>
  <sheetData>
    <row r="1" spans="2:7" s="2" customFormat="1" ht="13">
      <c r="B1" s="54"/>
      <c r="D1" s="7"/>
      <c r="E1" s="11"/>
      <c r="F1" s="11"/>
    </row>
    <row r="2" spans="2:7" s="2" customFormat="1" ht="12.75" customHeight="1">
      <c r="B2" s="189">
        <v>1</v>
      </c>
      <c r="C2" s="189" t="s">
        <v>159</v>
      </c>
      <c r="D2" s="130" t="s">
        <v>96</v>
      </c>
      <c r="E2" s="72" t="s">
        <v>450</v>
      </c>
      <c r="F2" s="11"/>
    </row>
    <row r="3" spans="2:7" s="2" customFormat="1" ht="12.75" customHeight="1">
      <c r="B3" s="190"/>
      <c r="C3" s="190"/>
      <c r="D3" s="130" t="s">
        <v>24</v>
      </c>
      <c r="E3" s="72" t="s">
        <v>95</v>
      </c>
      <c r="F3" s="11"/>
    </row>
    <row r="4" spans="2:7" s="2" customFormat="1" ht="12.75" customHeight="1">
      <c r="B4" s="191"/>
      <c r="C4" s="191"/>
      <c r="D4" s="130" t="s">
        <v>25</v>
      </c>
      <c r="E4" s="73">
        <v>44408</v>
      </c>
      <c r="F4" s="11"/>
    </row>
    <row r="5" spans="2:7" s="2" customFormat="1" ht="13">
      <c r="B5" s="54"/>
      <c r="D5" s="7"/>
      <c r="E5" s="11"/>
      <c r="F5" s="11"/>
      <c r="G5" s="11"/>
    </row>
    <row r="6" spans="2:7" s="2" customFormat="1" ht="13">
      <c r="B6" s="3"/>
      <c r="C6" s="3"/>
      <c r="D6" s="4"/>
      <c r="E6" s="4"/>
      <c r="F6" s="4"/>
      <c r="G6" s="4"/>
    </row>
    <row r="7" spans="2:7" s="2" customFormat="1" ht="13">
      <c r="B7" s="54"/>
      <c r="D7" s="7"/>
      <c r="E7" s="11"/>
      <c r="F7" s="11"/>
      <c r="G7" s="11"/>
    </row>
    <row r="8" spans="2:7" s="2" customFormat="1" ht="16">
      <c r="B8" s="90">
        <v>2</v>
      </c>
      <c r="C8" s="43" t="s">
        <v>19</v>
      </c>
      <c r="D8" s="194"/>
      <c r="E8" s="194"/>
      <c r="F8" s="194"/>
      <c r="G8" s="194"/>
    </row>
    <row r="9" spans="2:7" s="2" customFormat="1" ht="13">
      <c r="B9" s="54"/>
      <c r="D9" s="11"/>
      <c r="E9" s="11"/>
      <c r="F9" s="11"/>
      <c r="G9" s="11"/>
    </row>
    <row r="10" spans="2:7" s="2" customFormat="1" ht="26.25" customHeight="1">
      <c r="B10" s="54"/>
      <c r="C10" s="92" t="s">
        <v>5</v>
      </c>
      <c r="D10" s="93" t="s">
        <v>6</v>
      </c>
      <c r="E10" s="93" t="s">
        <v>97</v>
      </c>
      <c r="F10" s="94" t="s">
        <v>98</v>
      </c>
      <c r="G10" s="95" t="s">
        <v>23</v>
      </c>
    </row>
    <row r="11" spans="2:7" s="2" customFormat="1" ht="42">
      <c r="B11" s="54"/>
      <c r="C11" s="96" t="s">
        <v>4</v>
      </c>
      <c r="D11" s="74" t="str">
        <f>IF(ISBLANK('Impact Criteria Survey -EXAMPLE'!E2),"",'Impact Criteria Survey -EXAMPLE'!E2)</f>
        <v>Reliably produce just-in-time, custom widgets that meet demanding resiliency and design specifications, and within market-leading turnaround times.</v>
      </c>
      <c r="E11" s="74" t="str">
        <f>IF(ISBLANK('Impact Criteria Survey -EXAMPLE'!E15),"",'Impact Criteria Survey -EXAMPLE'!E15)</f>
        <v>To maintain our market position as the best custom widgets manufacturer.</v>
      </c>
      <c r="F11" s="74" t="str">
        <f>IF(ISBLANK('Impact Criteria Survey -EXAMPLE'!E28),"",'Impact Criteria Survey -EXAMPLE'!E28)</f>
        <v>To achieve our profit goals each year.</v>
      </c>
      <c r="G11" s="75" t="str">
        <f>IF(ISBLANK('Impact Criteria Survey -EXAMPLE'!E41),"",'Impact Criteria Survey -EXAMPLE'!E41)</f>
        <v>To protect our customers from harm due to loss of their intellectual property.</v>
      </c>
    </row>
    <row r="12" spans="2:7" s="2" customFormat="1" ht="28">
      <c r="B12" s="54"/>
      <c r="C12" s="99" t="s">
        <v>133</v>
      </c>
      <c r="D12" s="74" t="str">
        <f>IF(ISBLANK('Impact Criteria Survey -EXAMPLE'!E7),"",'Impact Criteria Survey -EXAMPLE'!E7)</f>
        <v>All orders would be produced within specifications and on time and without unplanned effort.</v>
      </c>
      <c r="E12" s="74" t="str">
        <f>IF(ISBLANK('Impact Criteria Survey -EXAMPLE'!E20),"",'Impact Criteria Survey -EXAMPLE'!E20)</f>
        <v>Ranked as #1 in all categories in annual "Custom Widget World" Magazine poll.</v>
      </c>
      <c r="F12" s="144">
        <f>IF(ISBLANK('Impact Criteria Survey -EXAMPLE'!E33),"",'Impact Criteria Survey -EXAMPLE'!E33)</f>
        <v>1000</v>
      </c>
      <c r="G12" s="75" t="str">
        <f>IF(ISBLANK('Impact Criteria Survey -EXAMPLE'!E46),"",'Impact Criteria Survey -EXAMPLE'!E46)</f>
        <v>No customer would suffer a loss of competitive advantage.</v>
      </c>
    </row>
    <row r="13" spans="2:7" s="2" customFormat="1" ht="42">
      <c r="B13" s="54"/>
      <c r="C13" s="99" t="s">
        <v>134</v>
      </c>
      <c r="D13" s="74" t="str">
        <f>IF(ISBLANK('Impact Criteria Survey -EXAMPLE'!E8),"",'Impact Criteria Survey -EXAMPLE'!E8)</f>
        <v>All orders would be produced within specifications and on time, but some may require unplanned effort to stay within tolerance metrics.</v>
      </c>
      <c r="E13" s="74" t="str">
        <f>IF(ISBLANK('Impact Criteria Survey -EXAMPLE'!E21),"",'Impact Criteria Survey -EXAMPLE'!E21)</f>
        <v>Ranked as #1 in only one category of "Custom Widget World" Magazine poll for only one year.</v>
      </c>
      <c r="F13" s="144">
        <f>IF(ISBLANK('Impact Criteria Survey -EXAMPLE'!E34),"",'Impact Criteria Survey -EXAMPLE'!E34)</f>
        <v>10000</v>
      </c>
      <c r="G13" s="75" t="str">
        <f>IF(ISBLANK('Impact Criteria Survey -EXAMPLE'!E47),"",'Impact Criteria Survey -EXAMPLE'!E47)</f>
        <v>One or few customers may be concerned about potential loss of competitive advantage, but no harm would result.</v>
      </c>
    </row>
    <row r="14" spans="2:7" s="2" customFormat="1" ht="42">
      <c r="B14" s="54"/>
      <c r="C14" s="99" t="s">
        <v>135</v>
      </c>
      <c r="D14" s="74" t="str">
        <f>IF(ISBLANK('Impact Criteria Survey -EXAMPLE'!E9),"",'Impact Criteria Survey -EXAMPLE'!E9)</f>
        <v>Few orders each quarter (outside of our tolerance metrics) may miss targets, but could be corrected with adjustments or discounts.</v>
      </c>
      <c r="E14" s="74" t="str">
        <f>IF(ISBLANK('Impact Criteria Survey -EXAMPLE'!E22),"",'Impact Criteria Survey -EXAMPLE'!E22)</f>
        <v>Not ranked #1 in any category of "Custom Widget World" Magazine poll for one year.</v>
      </c>
      <c r="F14" s="144">
        <f>IF(ISBLANK('Impact Criteria Survey -EXAMPLE'!E35),"",'Impact Criteria Survey -EXAMPLE'!E35)</f>
        <v>500000</v>
      </c>
      <c r="G14" s="75" t="str">
        <f>IF(ISBLANK('Impact Criteria Survey -EXAMPLE'!E48),"",'Impact Criteria Survey -EXAMPLE'!E48)</f>
        <v>One or few customers would suffer minor loss of competitive advantage, but they could be made whole within a fiscal year.</v>
      </c>
    </row>
    <row r="15" spans="2:7" s="2" customFormat="1" ht="56">
      <c r="B15" s="54"/>
      <c r="C15" s="99" t="s">
        <v>136</v>
      </c>
      <c r="D15" s="74" t="str">
        <f>IF(ISBLANK('Impact Criteria Survey -EXAMPLE'!E10),"",'Impact Criteria Survey -EXAMPLE'!E10)</f>
        <v xml:space="preserve">We would repeatedly miss targets outside of tolerance metrics, requiring regular adjustments or discounts per quarter, or would require significant re-investment to operate regularly within our tolerance metrics. </v>
      </c>
      <c r="E15" s="74" t="str">
        <f>IF(ISBLANK('Impact Criteria Survey -EXAMPLE'!E23),"",'Impact Criteria Survey -EXAMPLE'!E23)</f>
        <v>Not ranked in top three in any category of "Custom Widget World" Magazine poll for two years or more.</v>
      </c>
      <c r="F15" s="144">
        <f>IF(ISBLANK('Impact Criteria Survey -EXAMPLE'!E36),"",'Impact Criteria Survey -EXAMPLE'!E36)</f>
        <v>5000000</v>
      </c>
      <c r="G15" s="75" t="str">
        <f>IF(ISBLANK('Impact Criteria Survey -EXAMPLE'!E49),"",'Impact Criteria Survey -EXAMPLE'!E49)</f>
        <v>Many customers would suffer minor loss of competitive advantage, or one to few customers would suffer harm that would require significant business investment or planning to recover.</v>
      </c>
    </row>
    <row r="16" spans="2:7" s="2" customFormat="1" ht="28">
      <c r="B16" s="54"/>
      <c r="C16" s="100" t="s">
        <v>137</v>
      </c>
      <c r="D16" s="145" t="str">
        <f>IF(ISBLANK('Impact Criteria Survey -EXAMPLE'!E11),"",'Impact Criteria Survey -EXAMPLE'!E11)</f>
        <v>We could not meet our mission.</v>
      </c>
      <c r="E16" s="74" t="str">
        <f>IF(ISBLANK('Impact Criteria Survey -EXAMPLE'!E24),"",'Impact Criteria Survey -EXAMPLE'!E24)</f>
        <v>Unable to rank well in annual "Custom Widget World" Magazine poll.</v>
      </c>
      <c r="F16" s="131" t="str">
        <f>IF(ISBLANK('Impact Criteria Survey -EXAMPLE'!F24),"",'Impact Criteria Survey -EXAMPLE'!F24)</f>
        <v/>
      </c>
      <c r="G16" s="75" t="str">
        <f>IF(ISBLANK('Impact Criteria Survey -EXAMPLE'!E50),"",'Impact Criteria Survey -EXAMPLE'!E50)</f>
        <v xml:space="preserve">We would not be able to protect our customers from losses due to intellectual property theft. </v>
      </c>
    </row>
    <row r="17" spans="2:7" s="2" customFormat="1" ht="13">
      <c r="B17" s="54"/>
      <c r="D17" s="7"/>
      <c r="E17" s="11"/>
      <c r="F17" s="11"/>
      <c r="G17" s="11"/>
    </row>
    <row r="18" spans="2:7" s="2" customFormat="1" ht="13">
      <c r="B18" s="3"/>
      <c r="C18" s="3"/>
      <c r="D18" s="4"/>
      <c r="E18" s="4"/>
      <c r="F18" s="4"/>
      <c r="G18" s="4"/>
    </row>
    <row r="19" spans="2:7" s="2" customFormat="1" ht="13">
      <c r="B19" s="54"/>
      <c r="D19" s="7"/>
      <c r="E19" s="11"/>
      <c r="F19" s="11"/>
      <c r="G19" s="11"/>
    </row>
    <row r="20" spans="2:7" s="2" customFormat="1" ht="16">
      <c r="B20" s="90">
        <v>3</v>
      </c>
      <c r="C20" s="43" t="s">
        <v>422</v>
      </c>
      <c r="D20" s="195"/>
      <c r="E20" s="196"/>
      <c r="F20" s="11"/>
      <c r="G20" s="11"/>
    </row>
    <row r="21" spans="2:7" s="2" customFormat="1" ht="16">
      <c r="B21" s="54"/>
      <c r="C21" s="36"/>
      <c r="D21" s="132"/>
      <c r="E21" s="133"/>
      <c r="F21" s="11"/>
      <c r="G21" s="11"/>
    </row>
    <row r="22" spans="2:7" s="2" customFormat="1">
      <c r="B22" s="54"/>
      <c r="C22" s="103" t="s">
        <v>423</v>
      </c>
      <c r="D22" s="134" t="s">
        <v>424</v>
      </c>
      <c r="E22" s="135" t="s">
        <v>234</v>
      </c>
      <c r="F22" s="11"/>
      <c r="G22" s="11"/>
    </row>
    <row r="23" spans="2:7" s="2" customFormat="1" ht="14">
      <c r="B23" s="54"/>
      <c r="C23" s="96">
        <v>1</v>
      </c>
      <c r="D23" s="136" t="s">
        <v>235</v>
      </c>
      <c r="E23" s="106" t="s">
        <v>460</v>
      </c>
      <c r="F23" s="11"/>
      <c r="G23" s="11"/>
    </row>
    <row r="24" spans="2:7" s="2" customFormat="1" ht="28">
      <c r="B24" s="54"/>
      <c r="C24" s="96">
        <v>2</v>
      </c>
      <c r="D24" s="136" t="s">
        <v>236</v>
      </c>
      <c r="E24" s="106" t="s">
        <v>461</v>
      </c>
      <c r="F24" s="11"/>
      <c r="G24" s="11"/>
    </row>
    <row r="25" spans="2:7" s="2" customFormat="1" ht="28">
      <c r="B25" s="54"/>
      <c r="C25" s="96">
        <v>3</v>
      </c>
      <c r="D25" s="136" t="s">
        <v>237</v>
      </c>
      <c r="E25" s="106" t="s">
        <v>462</v>
      </c>
      <c r="F25" s="11"/>
      <c r="G25" s="11"/>
    </row>
    <row r="26" spans="2:7" s="2" customFormat="1" ht="14">
      <c r="B26" s="54"/>
      <c r="C26" s="96">
        <v>4</v>
      </c>
      <c r="D26" s="136" t="s">
        <v>238</v>
      </c>
      <c r="E26" s="106" t="s">
        <v>463</v>
      </c>
      <c r="F26" s="11"/>
      <c r="G26" s="11"/>
    </row>
    <row r="27" spans="2:7" s="2" customFormat="1" ht="14">
      <c r="B27" s="54"/>
      <c r="C27" s="107">
        <v>5</v>
      </c>
      <c r="D27" s="137" t="s">
        <v>239</v>
      </c>
      <c r="E27" s="108" t="s">
        <v>464</v>
      </c>
      <c r="F27" s="11"/>
      <c r="G27" s="11"/>
    </row>
    <row r="28" spans="2:7" s="2" customFormat="1" ht="13">
      <c r="B28" s="54"/>
      <c r="D28" s="7"/>
      <c r="E28" s="11"/>
      <c r="F28" s="11"/>
      <c r="G28" s="11"/>
    </row>
    <row r="29" spans="2:7" s="2" customFormat="1" ht="13">
      <c r="B29" s="3"/>
      <c r="C29" s="3"/>
      <c r="D29" s="4"/>
      <c r="E29" s="4"/>
      <c r="F29" s="4"/>
      <c r="G29" s="4"/>
    </row>
    <row r="30" spans="2:7" s="2" customFormat="1" ht="13">
      <c r="B30" s="54"/>
      <c r="D30" s="7"/>
      <c r="E30" s="11"/>
      <c r="F30" s="11"/>
      <c r="G30" s="11"/>
    </row>
    <row r="31" spans="2:7" s="2" customFormat="1" ht="16">
      <c r="B31" s="90">
        <v>4</v>
      </c>
      <c r="C31" s="43" t="s">
        <v>8</v>
      </c>
      <c r="D31" s="197"/>
      <c r="E31" s="198"/>
      <c r="F31" s="11"/>
      <c r="G31" s="11"/>
    </row>
    <row r="32" spans="2:7" s="2" customFormat="1" ht="13">
      <c r="B32" s="54"/>
      <c r="D32" s="21"/>
      <c r="E32" s="32"/>
      <c r="F32" s="11"/>
      <c r="G32" s="11"/>
    </row>
    <row r="33" spans="2:7" s="2" customFormat="1" ht="12.75" customHeight="1">
      <c r="B33" s="54"/>
      <c r="C33" s="194" t="s">
        <v>465</v>
      </c>
      <c r="D33" s="138" t="s">
        <v>424</v>
      </c>
      <c r="E33" s="139" t="s">
        <v>240</v>
      </c>
      <c r="F33" s="11"/>
      <c r="G33" s="11"/>
    </row>
    <row r="34" spans="2:7" s="2" customFormat="1" ht="14" thickBot="1">
      <c r="B34" s="54"/>
      <c r="C34" s="194"/>
      <c r="D34" s="140">
        <v>3</v>
      </c>
      <c r="E34" s="141">
        <v>3</v>
      </c>
      <c r="F34" s="11"/>
      <c r="G34" s="11"/>
    </row>
    <row r="35" spans="2:7" s="2" customFormat="1" thickBot="1">
      <c r="B35" s="54"/>
      <c r="C35" s="199"/>
      <c r="D35" s="142" t="s">
        <v>241</v>
      </c>
      <c r="E35" s="143">
        <f>D34*E34</f>
        <v>9</v>
      </c>
      <c r="F35" s="11"/>
      <c r="G35" s="11"/>
    </row>
    <row r="36" spans="2:7" s="2" customFormat="1" ht="13">
      <c r="B36" s="54"/>
      <c r="D36" s="7"/>
      <c r="E36" s="11"/>
      <c r="F36" s="11"/>
      <c r="G36" s="11"/>
    </row>
    <row r="37" spans="2:7" s="2" customFormat="1" ht="13">
      <c r="B37" s="3"/>
      <c r="C37" s="3"/>
      <c r="D37" s="4"/>
      <c r="E37" s="4"/>
      <c r="F37" s="4"/>
      <c r="G37" s="4"/>
    </row>
    <row r="38" spans="2:7" s="2" customFormat="1" ht="13">
      <c r="B38" s="54"/>
      <c r="D38" s="7"/>
      <c r="E38" s="11"/>
      <c r="F38" s="11"/>
      <c r="G38" s="11"/>
    </row>
    <row r="39" spans="2:7" s="2" customFormat="1" ht="45" customHeight="1">
      <c r="B39" s="90">
        <v>5</v>
      </c>
      <c r="C39" s="43" t="s">
        <v>27</v>
      </c>
      <c r="D39" s="192" t="s">
        <v>466</v>
      </c>
      <c r="E39" s="193"/>
      <c r="F39" s="193"/>
      <c r="G39" s="193"/>
    </row>
    <row r="40" spans="2:7" s="2" customFormat="1" ht="13">
      <c r="B40" s="54"/>
      <c r="C40" s="6"/>
      <c r="D40" s="7"/>
      <c r="E40" s="7"/>
      <c r="F40" s="7"/>
      <c r="G40" s="11"/>
    </row>
    <row r="41" spans="2:7" s="2" customFormat="1">
      <c r="B41" s="54"/>
      <c r="C41" s="92" t="s">
        <v>22</v>
      </c>
      <c r="D41" s="93" t="s">
        <v>17</v>
      </c>
      <c r="E41" s="93" t="s">
        <v>99</v>
      </c>
      <c r="F41" s="94" t="s">
        <v>158</v>
      </c>
      <c r="G41" s="95" t="s">
        <v>18</v>
      </c>
    </row>
    <row r="42" spans="2:7" s="2" customFormat="1" ht="13">
      <c r="B42" s="54"/>
      <c r="C42" s="109" t="s">
        <v>95</v>
      </c>
      <c r="D42" s="110">
        <f>IF(MAX(D43:D47)=0,"",MAX(D43:D47))</f>
        <v>4</v>
      </c>
      <c r="E42" s="110">
        <f>IF(MAX(E43:E47)=0,"",MAX(E43:E47))</f>
        <v>4</v>
      </c>
      <c r="F42" s="110">
        <f>IF(MAX(F43:F47)=0,"",MAX(F43:F47))</f>
        <v>5</v>
      </c>
      <c r="G42" s="111">
        <f>IF(MAX(G43:G47)=0,"",MAX(G43:G47))</f>
        <v>5</v>
      </c>
    </row>
    <row r="43" spans="2:7" s="2" customFormat="1" ht="13">
      <c r="B43" s="54"/>
      <c r="C43" s="99" t="s">
        <v>91</v>
      </c>
      <c r="D43" s="37">
        <v>2</v>
      </c>
      <c r="E43" s="37">
        <v>1</v>
      </c>
      <c r="F43" s="37">
        <v>3</v>
      </c>
      <c r="G43" s="41">
        <v>3</v>
      </c>
    </row>
    <row r="44" spans="2:7" s="2" customFormat="1" ht="13">
      <c r="B44" s="54"/>
      <c r="C44" s="109" t="s">
        <v>92</v>
      </c>
      <c r="D44" s="38">
        <v>4</v>
      </c>
      <c r="E44" s="38">
        <v>2</v>
      </c>
      <c r="F44" s="38">
        <v>4</v>
      </c>
      <c r="G44" s="42">
        <v>5</v>
      </c>
    </row>
    <row r="45" spans="2:7" s="2" customFormat="1" ht="13">
      <c r="B45" s="54"/>
      <c r="C45" s="99" t="s">
        <v>90</v>
      </c>
      <c r="D45" s="37">
        <v>3</v>
      </c>
      <c r="E45" s="37">
        <v>4</v>
      </c>
      <c r="F45" s="37">
        <v>5</v>
      </c>
      <c r="G45" s="41">
        <v>2</v>
      </c>
    </row>
    <row r="46" spans="2:7" s="2" customFormat="1" ht="13">
      <c r="B46" s="54"/>
      <c r="C46" s="109" t="s">
        <v>93</v>
      </c>
      <c r="D46" s="38">
        <v>3</v>
      </c>
      <c r="E46" s="38">
        <v>4</v>
      </c>
      <c r="F46" s="38">
        <v>3</v>
      </c>
      <c r="G46" s="42">
        <v>1</v>
      </c>
    </row>
    <row r="47" spans="2:7" s="2" customFormat="1" ht="13">
      <c r="B47" s="54"/>
      <c r="C47" s="100" t="s">
        <v>94</v>
      </c>
      <c r="D47" s="37">
        <v>3</v>
      </c>
      <c r="E47" s="37">
        <v>3</v>
      </c>
      <c r="F47" s="37">
        <v>4</v>
      </c>
      <c r="G47" s="41">
        <v>4</v>
      </c>
    </row>
    <row r="48" spans="2:7" s="2" customFormat="1" ht="13">
      <c r="B48" s="54"/>
      <c r="D48" s="7"/>
      <c r="E48" s="11"/>
      <c r="F48" s="11"/>
      <c r="G48" s="11"/>
    </row>
  </sheetData>
  <sheetProtection sheet="1" objects="1" scenarios="1"/>
  <mergeCells count="7">
    <mergeCell ref="B2:B4"/>
    <mergeCell ref="D31:E31"/>
    <mergeCell ref="C33:C35"/>
    <mergeCell ref="D39:G39"/>
    <mergeCell ref="C2:C4"/>
    <mergeCell ref="D8:G8"/>
    <mergeCell ref="D20:E20"/>
  </mergeCells>
  <dataValidations count="1">
    <dataValidation type="list" allowBlank="1" showInputMessage="1" showErrorMessage="1" sqref="D34:E34 D43:G47" xr:uid="{CF7D8B8F-7E25-4F71-9724-E7C259D7E6B2}">
      <formula1>"1,2,3,4,5"</formula1>
    </dataValidation>
  </dataValidations>
  <pageMargins left="0.7" right="0.7" top="0.75" bottom="0.75" header="0.3" footer="0.3"/>
  <pageSetup orientation="portrait" r:id="rId1"/>
  <ignoredErrors>
    <ignoredError sqref="D11 G11:G16 D43:D47 E43:E47 F43:F47 G43 G45:G47" calculatedColumn="1"/>
  </ignoredErrors>
  <legacyDrawing r:id="rId2"/>
  <tableParts count="3">
    <tablePart r:id="rId3"/>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16B9E-0E37-487D-BD2A-09EED4EE213F}">
  <sheetPr>
    <tabColor rgb="FFFF0000"/>
  </sheetPr>
  <dimension ref="B2:AN142"/>
  <sheetViews>
    <sheetView showGridLines="0" zoomScaleNormal="100" workbookViewId="0">
      <selection activeCell="J14" sqref="J14"/>
    </sheetView>
  </sheetViews>
  <sheetFormatPr baseColWidth="10" defaultColWidth="9.1640625" defaultRowHeight="13"/>
  <cols>
    <col min="1" max="1" width="9.1640625" style="2"/>
    <col min="2" max="2" width="22.33203125" style="2" customWidth="1"/>
    <col min="3" max="3" width="22.83203125" style="2" customWidth="1"/>
    <col min="4" max="4" width="17" style="2" customWidth="1"/>
    <col min="5" max="5" width="30.33203125" style="8" customWidth="1"/>
    <col min="6" max="6" width="9.33203125" style="8" customWidth="1"/>
    <col min="7" max="7" width="9.1640625" style="8" customWidth="1"/>
    <col min="8" max="9" width="26.1640625" style="8" customWidth="1"/>
    <col min="10" max="10" width="24.6640625" style="8" customWidth="1"/>
    <col min="11" max="11" width="33.5" style="2" customWidth="1"/>
    <col min="12" max="19" width="13.33203125" style="2" customWidth="1"/>
    <col min="20" max="20" width="12.1640625" style="2" customWidth="1"/>
    <col min="21" max="21" width="20.5" style="54" customWidth="1"/>
    <col min="22" max="22" width="26.5" style="2" customWidth="1"/>
    <col min="23" max="23" width="55.33203125" style="2" customWidth="1"/>
    <col min="24" max="24" width="77.6640625" style="2" customWidth="1"/>
    <col min="25" max="25" width="62.33203125" style="2" customWidth="1"/>
    <col min="26" max="26" width="22.1640625" style="2" bestFit="1" customWidth="1"/>
    <col min="27" max="27" width="24.33203125" style="2" bestFit="1" customWidth="1"/>
    <col min="28" max="30" width="19.33203125" style="2" bestFit="1" customWidth="1"/>
    <col min="31" max="31" width="19.5" style="2" bestFit="1" customWidth="1"/>
    <col min="32" max="32" width="19.83203125" style="2" bestFit="1" customWidth="1"/>
    <col min="33" max="35" width="20.6640625" style="2" customWidth="1"/>
    <col min="36" max="36" width="20.1640625" style="2" customWidth="1"/>
    <col min="37" max="37" width="13.5" style="2" bestFit="1" customWidth="1"/>
    <col min="38" max="38" width="14.1640625" style="2" bestFit="1" customWidth="1"/>
    <col min="39" max="39" width="13.83203125" style="2" customWidth="1"/>
    <col min="40" max="16384" width="9.1640625" style="2"/>
  </cols>
  <sheetData>
    <row r="2" spans="2:40">
      <c r="B2" s="206" t="s">
        <v>159</v>
      </c>
      <c r="C2" s="1" t="s">
        <v>96</v>
      </c>
      <c r="D2" s="227" t="s">
        <v>450</v>
      </c>
      <c r="E2" s="227"/>
      <c r="F2" s="46"/>
      <c r="G2" s="222" t="s">
        <v>419</v>
      </c>
      <c r="H2" s="222"/>
      <c r="I2" s="222"/>
      <c r="J2" s="222"/>
      <c r="K2" s="222"/>
      <c r="L2" s="222"/>
      <c r="M2" s="222"/>
      <c r="N2" s="222"/>
      <c r="O2" s="222"/>
      <c r="P2" s="222"/>
      <c r="Q2" s="222"/>
    </row>
    <row r="3" spans="2:40">
      <c r="B3" s="207"/>
      <c r="C3" s="1" t="s">
        <v>24</v>
      </c>
      <c r="D3" s="227" t="s">
        <v>95</v>
      </c>
      <c r="E3" s="227"/>
      <c r="F3" s="46"/>
      <c r="G3" s="222"/>
      <c r="H3" s="222"/>
      <c r="I3" s="222"/>
      <c r="J3" s="222"/>
      <c r="K3" s="222"/>
      <c r="L3" s="222"/>
      <c r="M3" s="222"/>
      <c r="N3" s="222"/>
      <c r="O3" s="222"/>
      <c r="P3" s="222"/>
      <c r="Q3" s="222"/>
    </row>
    <row r="4" spans="2:40" ht="27" customHeight="1">
      <c r="B4" s="208"/>
      <c r="C4" s="1" t="s">
        <v>25</v>
      </c>
      <c r="D4" s="228">
        <v>44408</v>
      </c>
      <c r="E4" s="227"/>
      <c r="F4" s="59"/>
      <c r="G4" s="222"/>
      <c r="H4" s="222"/>
      <c r="I4" s="222"/>
      <c r="J4" s="222"/>
      <c r="K4" s="222"/>
      <c r="L4" s="222"/>
      <c r="M4" s="222"/>
      <c r="N4" s="222"/>
      <c r="O4" s="222"/>
      <c r="P4" s="222"/>
      <c r="Q4" s="222"/>
    </row>
    <row r="6" spans="2:40">
      <c r="B6" s="3"/>
      <c r="C6" s="3"/>
      <c r="D6" s="3"/>
      <c r="E6" s="4"/>
      <c r="F6" s="4"/>
      <c r="G6" s="4"/>
      <c r="H6" s="4"/>
      <c r="I6" s="4"/>
      <c r="J6" s="4"/>
      <c r="K6" s="4"/>
      <c r="L6" s="4"/>
      <c r="M6" s="4"/>
      <c r="N6" s="4"/>
      <c r="O6" s="4"/>
      <c r="P6" s="4"/>
      <c r="Q6" s="4"/>
      <c r="R6" s="4"/>
      <c r="S6" s="4"/>
      <c r="T6" s="4"/>
      <c r="U6" s="12"/>
      <c r="V6" s="4"/>
      <c r="W6" s="4"/>
      <c r="X6" s="4"/>
      <c r="Y6" s="4"/>
      <c r="Z6" s="4"/>
      <c r="AA6" s="4"/>
      <c r="AB6" s="4"/>
      <c r="AC6" s="4"/>
      <c r="AD6" s="4"/>
      <c r="AE6" s="4"/>
      <c r="AF6" s="4"/>
      <c r="AG6" s="4"/>
      <c r="AH6" s="4"/>
      <c r="AI6" s="4"/>
      <c r="AJ6" s="4"/>
    </row>
    <row r="8" spans="2:40" s="128" customFormat="1" ht="30">
      <c r="B8" s="127" t="s">
        <v>26</v>
      </c>
      <c r="C8" s="223" t="s">
        <v>116</v>
      </c>
      <c r="D8" s="223"/>
      <c r="E8" s="223"/>
      <c r="F8" s="223"/>
      <c r="G8" s="223"/>
      <c r="H8" s="223"/>
      <c r="I8" s="223"/>
      <c r="J8" s="223"/>
      <c r="K8" s="223"/>
      <c r="L8" s="223"/>
      <c r="M8" s="223"/>
      <c r="N8" s="223"/>
      <c r="O8" s="223"/>
      <c r="P8" s="223"/>
      <c r="Q8" s="223"/>
      <c r="R8" s="223"/>
      <c r="S8" s="223"/>
      <c r="T8" s="127" t="s">
        <v>26</v>
      </c>
      <c r="U8" s="224" t="s">
        <v>114</v>
      </c>
      <c r="V8" s="225"/>
      <c r="W8" s="225"/>
      <c r="X8" s="225"/>
      <c r="Y8" s="225"/>
      <c r="Z8" s="225"/>
      <c r="AA8" s="225"/>
      <c r="AB8" s="225"/>
      <c r="AC8" s="225"/>
      <c r="AD8" s="225"/>
      <c r="AE8" s="225"/>
      <c r="AF8" s="225"/>
      <c r="AG8" s="225"/>
      <c r="AH8" s="225"/>
      <c r="AI8" s="225"/>
      <c r="AJ8" s="226"/>
      <c r="AL8" s="224" t="s">
        <v>418</v>
      </c>
      <c r="AM8" s="225"/>
      <c r="AN8" s="226"/>
    </row>
    <row r="10" spans="2:40" s="11" customFormat="1" ht="56">
      <c r="B10" s="9" t="s">
        <v>22</v>
      </c>
      <c r="C10" s="71" t="s">
        <v>259</v>
      </c>
      <c r="D10" s="9" t="s">
        <v>111</v>
      </c>
      <c r="E10" s="9" t="s">
        <v>112</v>
      </c>
      <c r="F10" s="9" t="s">
        <v>414</v>
      </c>
      <c r="G10" s="9" t="s">
        <v>415</v>
      </c>
      <c r="H10" s="9" t="s">
        <v>508</v>
      </c>
      <c r="I10" s="5" t="s">
        <v>432</v>
      </c>
      <c r="J10" s="71" t="s">
        <v>451</v>
      </c>
      <c r="K10" s="5" t="s">
        <v>425</v>
      </c>
      <c r="L10" s="5" t="s">
        <v>126</v>
      </c>
      <c r="M10" s="9" t="s">
        <v>20</v>
      </c>
      <c r="N10" s="9" t="s">
        <v>423</v>
      </c>
      <c r="O10" s="9" t="s">
        <v>0</v>
      </c>
      <c r="P10" s="9" t="s">
        <v>100</v>
      </c>
      <c r="Q10" s="9" t="s">
        <v>102</v>
      </c>
      <c r="R10" s="9" t="s">
        <v>1</v>
      </c>
      <c r="S10" s="9" t="s">
        <v>2</v>
      </c>
      <c r="T10" s="9" t="s">
        <v>3</v>
      </c>
      <c r="U10" s="5" t="s">
        <v>130</v>
      </c>
      <c r="V10" s="10" t="s">
        <v>28</v>
      </c>
      <c r="W10" s="10" t="s">
        <v>32</v>
      </c>
      <c r="X10" s="10" t="s">
        <v>33</v>
      </c>
      <c r="Y10" s="71" t="s">
        <v>113</v>
      </c>
      <c r="Z10" s="5" t="s">
        <v>127</v>
      </c>
      <c r="AA10" s="10" t="s">
        <v>427</v>
      </c>
      <c r="AB10" s="10" t="s">
        <v>34</v>
      </c>
      <c r="AC10" s="10" t="s">
        <v>101</v>
      </c>
      <c r="AD10" s="10" t="s">
        <v>417</v>
      </c>
      <c r="AE10" s="10" t="s">
        <v>35</v>
      </c>
      <c r="AF10" s="10" t="s">
        <v>37</v>
      </c>
      <c r="AG10" s="10" t="s">
        <v>115</v>
      </c>
      <c r="AH10" s="71" t="s">
        <v>36</v>
      </c>
      <c r="AI10" s="71" t="s">
        <v>107</v>
      </c>
      <c r="AJ10" s="71" t="s">
        <v>29</v>
      </c>
      <c r="AL10" s="12" t="s">
        <v>102</v>
      </c>
      <c r="AM10" s="12" t="s">
        <v>30</v>
      </c>
      <c r="AN10" s="12" t="s">
        <v>31</v>
      </c>
    </row>
    <row r="11" spans="2:40" ht="70">
      <c r="B11" s="15" t="s">
        <v>92</v>
      </c>
      <c r="C11" s="15" t="s">
        <v>445</v>
      </c>
      <c r="D11" s="13">
        <v>2.1</v>
      </c>
      <c r="E11" s="14" t="s">
        <v>39</v>
      </c>
      <c r="F11" s="13" t="s">
        <v>416</v>
      </c>
      <c r="G11" s="13" t="s">
        <v>416</v>
      </c>
      <c r="H11" s="13" t="s">
        <v>510</v>
      </c>
      <c r="I11" s="14" t="s">
        <v>440</v>
      </c>
      <c r="J11" s="14" t="s">
        <v>499</v>
      </c>
      <c r="K11" s="14" t="s">
        <v>433</v>
      </c>
      <c r="L11" s="66">
        <v>3</v>
      </c>
      <c r="M11" s="24">
        <f>IFERROR(VLOOKUP(tblRiskRegister322[[#This Row],[Asset Class]],tblVCDBIndex[],4,FALSE),"")</f>
        <v>2</v>
      </c>
      <c r="N11" s="24">
        <f>IFERROR(VLOOKUP(10*tblRiskRegister322[[#This Row],[Safeguard Maturity Score]]+tblRiskRegister322[[#This Row],[VCDB Index]],tblHITIndexWeightTable[],4,FALSE),"")</f>
        <v>2</v>
      </c>
      <c r="O11" s="24">
        <f>VLOOKUP(tblRiskRegister322[[#This Row],[Asset Class]],tblInherentImpacts3046[],2,FALSE)</f>
        <v>4</v>
      </c>
      <c r="P11" s="24">
        <f>VLOOKUP(tblRiskRegister322[[#This Row],[Asset Class]],tblInherentImpacts3046[],3,FALSE)</f>
        <v>2</v>
      </c>
      <c r="Q11" s="24">
        <f>VLOOKUP(tblRiskRegister322[[#This Row],[Asset Class]],tblInherentImpacts3046[],4,FALSE)</f>
        <v>4</v>
      </c>
      <c r="R11" s="24">
        <f>VLOOKUP(tblRiskRegister322[[#This Row],[Asset Class]],tblInherentImpacts3046[],5,FALSE)</f>
        <v>5</v>
      </c>
      <c r="S11" s="24">
        <f>IFERROR(MAX(tblRiskRegister322[[#This Row],[Impact to Mission]:[Impact to Obligations]])*tblRiskRegister322[[#This Row],[Expectancy Score]],"")</f>
        <v>10</v>
      </c>
      <c r="T11" s="24">
        <f>tblRiskRegister322[[#This Row],[Risk Score]]</f>
        <v>10</v>
      </c>
      <c r="U11" s="13" t="s">
        <v>448</v>
      </c>
      <c r="V11" s="50">
        <v>2.1</v>
      </c>
      <c r="W11" s="15" t="s">
        <v>39</v>
      </c>
      <c r="X11" s="15" t="s">
        <v>288</v>
      </c>
      <c r="Y11" s="15" t="s">
        <v>492</v>
      </c>
      <c r="Z11" s="16">
        <v>5</v>
      </c>
      <c r="AA11" s="23">
        <f>IFERROR(VLOOKUP(10*tblRiskRegister322[[#This Row],[Risk Treatment Safeguard Maturity Score]]+tblRiskRegister322[[#This Row],[VCDB Index]],tblHITIndexWeightTable[],4,FALSE),"")</f>
        <v>1</v>
      </c>
      <c r="AB11" s="65">
        <f>VLOOKUP(tblRiskRegister322[[#This Row],[Asset Class]],tblInherentImpacts3046[],2,FALSE)</f>
        <v>4</v>
      </c>
      <c r="AC11" s="65">
        <f>VLOOKUP(tblRiskRegister322[[#This Row],[Asset Class]],tblInherentImpacts3046[],3,FALSE)</f>
        <v>2</v>
      </c>
      <c r="AD11" s="65">
        <f>VLOOKUP(tblRiskRegister322[[#This Row],[Asset Class]],tblInherentImpacts3046[],3,FALSE)</f>
        <v>2</v>
      </c>
      <c r="AE11" s="65">
        <f>VLOOKUP(tblRiskRegister322[[#This Row],[Asset Class]],tblInherentImpacts3046[],4,FALSE)</f>
        <v>4</v>
      </c>
      <c r="AF11" s="23">
        <f>IFERROR(MAX(tblRiskRegister322[[#This Row],[Risk Treatment Safeguard Impact to Mission]:[Risk Treatment Safeguard Impact to Obligations]])*tblRiskRegister322[[#This Row],[Risk Treatment
Safeguard Expectancy Score]],"")</f>
        <v>4</v>
      </c>
      <c r="AG11" s="23" t="str">
        <f>IF(tblRiskRegister322[[#This Row],[Risk Score]]&gt;AcceptableRisk1,IF(tblRiskRegister322[[#This Row],[Risk Treatment Safeguard Risk Score]]&lt;AcceptableRisk1, IF(tblRiskRegister322[[#This Row],[Risk Treatment Safeguard Risk Score]]&lt;=tblRiskRegister322[[#This Row],[Risk Score]],"Yes","No"),"No"),"Yes")</f>
        <v>Yes</v>
      </c>
      <c r="AH11" s="17">
        <v>0</v>
      </c>
      <c r="AI11" s="17" t="s">
        <v>447</v>
      </c>
      <c r="AJ11" s="18">
        <v>2022</v>
      </c>
      <c r="AL11" s="19">
        <f>SUMIF(tblRiskRegister322[[#All],[Implementation Year]],"="&amp;tblCostImpacts335[[#This Row],[Year]],tblRiskRegister322[[#All],[Risk Treatment Safeguard Cost]])</f>
        <v>0</v>
      </c>
      <c r="AM11" s="6">
        <v>2021</v>
      </c>
      <c r="AN11" s="6" t="str">
        <f>IF(tblCostImpacts335[[#This Row],[Impact to Financial Objectives]]&lt;='Enterprise Parameters  -EXAMPLE'!$F$13,"Yes","No")</f>
        <v>Yes</v>
      </c>
    </row>
    <row r="12" spans="2:40" ht="70">
      <c r="B12" s="15" t="s">
        <v>92</v>
      </c>
      <c r="C12" s="15"/>
      <c r="D12" s="50">
        <v>2.1</v>
      </c>
      <c r="E12" s="14" t="s">
        <v>39</v>
      </c>
      <c r="F12" s="13" t="s">
        <v>416</v>
      </c>
      <c r="G12" s="13" t="s">
        <v>416</v>
      </c>
      <c r="H12" s="13" t="s">
        <v>510</v>
      </c>
      <c r="I12" s="14" t="s">
        <v>506</v>
      </c>
      <c r="J12" s="14" t="s">
        <v>499</v>
      </c>
      <c r="K12" s="14" t="s">
        <v>433</v>
      </c>
      <c r="L12" s="16">
        <v>2</v>
      </c>
      <c r="M12" s="24">
        <f>IFERROR(VLOOKUP(tblRiskRegister322[[#This Row],[Asset Class]],tblVCDBIndex[],4,FALSE),"")</f>
        <v>2</v>
      </c>
      <c r="N12" s="24">
        <f>IFERROR(VLOOKUP(10*tblRiskRegister322[[#This Row],[Safeguard Maturity Score]]+tblRiskRegister322[[#This Row],[VCDB Index]],tblHITIndexWeightTable[],4,FALSE),"")</f>
        <v>3</v>
      </c>
      <c r="O12" s="24">
        <f>VLOOKUP(tblRiskRegister322[[#This Row],[Asset Class]],tblInherentImpacts3046[],2,FALSE)</f>
        <v>4</v>
      </c>
      <c r="P12" s="24">
        <f>VLOOKUP(tblRiskRegister322[[#This Row],[Asset Class]],tblInherentImpacts3046[],3,FALSE)</f>
        <v>2</v>
      </c>
      <c r="Q12" s="24">
        <f>VLOOKUP(tblRiskRegister322[[#This Row],[Asset Class]],tblInherentImpacts3046[],4,FALSE)</f>
        <v>4</v>
      </c>
      <c r="R12" s="24">
        <f>VLOOKUP(tblRiskRegister322[[#This Row],[Asset Class]],tblInherentImpacts3046[],5,FALSE)</f>
        <v>5</v>
      </c>
      <c r="S12" s="24">
        <f>IFERROR(MAX(tblRiskRegister322[[#This Row],[Impact to Mission]:[Impact to Obligations]])*tblRiskRegister322[[#This Row],[Expectancy Score]],"")</f>
        <v>15</v>
      </c>
      <c r="T12" s="24">
        <f>tblRiskRegister322[[#This Row],[Risk Score]]</f>
        <v>15</v>
      </c>
      <c r="U12" s="13" t="s">
        <v>448</v>
      </c>
      <c r="V12" s="50">
        <v>2.1</v>
      </c>
      <c r="W12" s="15" t="s">
        <v>39</v>
      </c>
      <c r="X12" s="15" t="s">
        <v>288</v>
      </c>
      <c r="Y12" s="15"/>
      <c r="Z12" s="16"/>
      <c r="AA12" s="23" t="str">
        <f>IFERROR(VLOOKUP(10*tblRiskRegister322[[#This Row],[Risk Treatment Safeguard Maturity Score]]+tblRiskRegister322[[#This Row],[VCDB Index]],tblHITIndexWeightTable[],4,FALSE),"")</f>
        <v/>
      </c>
      <c r="AB12" s="65">
        <f>VLOOKUP(tblRiskRegister322[[#This Row],[Asset Class]],tblInherentImpacts3046[],2,FALSE)</f>
        <v>4</v>
      </c>
      <c r="AC12" s="65">
        <f>VLOOKUP(tblRiskRegister322[[#This Row],[Asset Class]],tblInherentImpacts3046[],3,FALSE)</f>
        <v>2</v>
      </c>
      <c r="AD12" s="65">
        <f>VLOOKUP(tblRiskRegister322[[#This Row],[Asset Class]],tblInherentImpacts3046[],3,FALSE)</f>
        <v>2</v>
      </c>
      <c r="AE12" s="65">
        <f>VLOOKUP(tblRiskRegister322[[#This Row],[Asset Class]],tblInherentImpacts3046[],4,FALSE)</f>
        <v>4</v>
      </c>
      <c r="AF12" s="23" t="str">
        <f>IFERROR(MAX(tblRiskRegister322[[#This Row],[Risk Treatment Safeguard Impact to Mission]:[Risk Treatment Safeguard Impact to Obligations]])*tblRiskRegister322[[#This Row],[Risk Treatment
Safeguard Expectancy Score]],"")</f>
        <v/>
      </c>
      <c r="AG12" s="23" t="str">
        <f>IF(tblRiskRegister322[[#This Row],[Risk Score]]&gt;AcceptableRisk1,IF(tblRiskRegister322[[#This Row],[Risk Treatment Safeguard Risk Score]]&lt;AcceptableRisk1, IF(tblRiskRegister322[[#This Row],[Risk Treatment Safeguard Risk Score]]&lt;=tblRiskRegister322[[#This Row],[Risk Score]],"Yes","No"),"No"),"Yes")</f>
        <v>No</v>
      </c>
      <c r="AH12" s="17"/>
      <c r="AI12" s="17"/>
      <c r="AJ12" s="18"/>
      <c r="AL12" s="19">
        <f>SUMIF(tblRiskRegister322[[#All],[Implementation Year]],"="&amp;tblCostImpacts335[[#This Row],[Year]],tblRiskRegister322[[#All],[Risk Treatment Safeguard Cost]])</f>
        <v>501000</v>
      </c>
      <c r="AM12" s="6">
        <v>2022</v>
      </c>
      <c r="AN12" s="6" t="str">
        <f>IF(tblCostImpacts335[[#This Row],[Impact to Financial Objectives]]&lt;='Enterprise Parameters  -EXAMPLE'!$F$13,"Yes","No")</f>
        <v>No</v>
      </c>
    </row>
    <row r="13" spans="2:40" ht="84">
      <c r="B13" s="15" t="s">
        <v>92</v>
      </c>
      <c r="C13" s="15" t="s">
        <v>445</v>
      </c>
      <c r="D13" s="13">
        <v>2.2000000000000002</v>
      </c>
      <c r="E13" s="14" t="s">
        <v>40</v>
      </c>
      <c r="F13" s="13" t="s">
        <v>416</v>
      </c>
      <c r="G13" s="13" t="s">
        <v>416</v>
      </c>
      <c r="H13" s="13" t="s">
        <v>510</v>
      </c>
      <c r="I13" s="14" t="s">
        <v>441</v>
      </c>
      <c r="J13" s="14" t="s">
        <v>499</v>
      </c>
      <c r="K13" s="14" t="s">
        <v>434</v>
      </c>
      <c r="L13" s="66">
        <v>5</v>
      </c>
      <c r="M13" s="24">
        <f>IFERROR(VLOOKUP(tblRiskRegister322[[#This Row],[Asset Class]],tblVCDBIndex[],4,FALSE),"")</f>
        <v>2</v>
      </c>
      <c r="N13" s="24">
        <f>IFERROR(VLOOKUP(10*tblRiskRegister322[[#This Row],[Safeguard Maturity Score]]+tblRiskRegister322[[#This Row],[VCDB Index]],tblHITIndexWeightTable[],4,FALSE),"")</f>
        <v>1</v>
      </c>
      <c r="O13" s="24">
        <f>VLOOKUP(tblRiskRegister322[[#This Row],[Asset Class]],tblInherentImpacts3046[],2,FALSE)</f>
        <v>4</v>
      </c>
      <c r="P13" s="24">
        <f>VLOOKUP(tblRiskRegister322[[#This Row],[Asset Class]],tblInherentImpacts3046[],3,FALSE)</f>
        <v>2</v>
      </c>
      <c r="Q13" s="24">
        <f>VLOOKUP(tblRiskRegister322[[#This Row],[Asset Class]],tblInherentImpacts3046[],4,FALSE)</f>
        <v>4</v>
      </c>
      <c r="R13" s="24">
        <f>VLOOKUP(tblRiskRegister322[[#This Row],[Asset Class]],tblInherentImpacts3046[],5,FALSE)</f>
        <v>5</v>
      </c>
      <c r="S13" s="24">
        <f>IFERROR(MAX(tblRiskRegister322[[#This Row],[Impact to Mission]:[Impact to Obligations]])*tblRiskRegister322[[#This Row],[Expectancy Score]],"")</f>
        <v>5</v>
      </c>
      <c r="T13" s="24">
        <f>tblRiskRegister322[[#This Row],[Risk Score]]</f>
        <v>5</v>
      </c>
      <c r="U13" s="13" t="s">
        <v>449</v>
      </c>
      <c r="V13" s="50">
        <v>2.2000000000000002</v>
      </c>
      <c r="W13" s="15" t="s">
        <v>40</v>
      </c>
      <c r="X13" s="15" t="s">
        <v>289</v>
      </c>
      <c r="Y13" s="15"/>
      <c r="Z13" s="16"/>
      <c r="AA13" s="23" t="str">
        <f>IFERROR(VLOOKUP(10*tblRiskRegister322[[#This Row],[Risk Treatment Safeguard Maturity Score]]+tblRiskRegister322[[#This Row],[VCDB Index]],tblHITIndexWeightTable[],4,FALSE),"")</f>
        <v/>
      </c>
      <c r="AB13" s="65">
        <f>VLOOKUP(tblRiskRegister322[[#This Row],[Asset Class]],tblInherentImpacts3046[],2,FALSE)</f>
        <v>4</v>
      </c>
      <c r="AC13" s="65">
        <f>VLOOKUP(tblRiskRegister322[[#This Row],[Asset Class]],tblInherentImpacts3046[],3,FALSE)</f>
        <v>2</v>
      </c>
      <c r="AD13" s="65">
        <f>VLOOKUP(tblRiskRegister322[[#This Row],[Asset Class]],tblInherentImpacts3046[],3,FALSE)</f>
        <v>2</v>
      </c>
      <c r="AE13" s="65">
        <f>VLOOKUP(tblRiskRegister322[[#This Row],[Asset Class]],tblInherentImpacts3046[],4,FALSE)</f>
        <v>4</v>
      </c>
      <c r="AF13" s="23" t="str">
        <f>IFERROR(MAX(tblRiskRegister322[[#This Row],[Risk Treatment Safeguard Impact to Mission]:[Risk Treatment Safeguard Impact to Obligations]])*tblRiskRegister322[[#This Row],[Risk Treatment
Safeguard Expectancy Score]],"")</f>
        <v/>
      </c>
      <c r="AG13" s="23" t="str">
        <f>IF(tblRiskRegister322[[#This Row],[Risk Score]]&gt;AcceptableRisk1,IF(tblRiskRegister322[[#This Row],[Risk Treatment Safeguard Risk Score]]&lt;AcceptableRisk1, IF(tblRiskRegister322[[#This Row],[Risk Treatment Safeguard Risk Score]]&lt;=tblRiskRegister322[[#This Row],[Risk Score]],"Yes","No"),"No"),"Yes")</f>
        <v>Yes</v>
      </c>
      <c r="AH13" s="17"/>
      <c r="AI13" s="17"/>
      <c r="AJ13" s="18"/>
      <c r="AL13" s="19">
        <f>SUMIF(tblRiskRegister322[[#All],[Implementation Year]],"="&amp;tblCostImpacts335[[#This Row],[Year]],tblRiskRegister322[[#All],[Risk Treatment Safeguard Cost]])</f>
        <v>0</v>
      </c>
      <c r="AM13" s="6">
        <v>2023</v>
      </c>
      <c r="AN13" s="6" t="str">
        <f>IF(tblCostImpacts335[[#This Row],[Impact to Financial Objectives]]&lt;='Enterprise Parameters  -EXAMPLE'!$F$13,"Yes","No")</f>
        <v>Yes</v>
      </c>
    </row>
    <row r="14" spans="2:40" ht="84">
      <c r="B14" s="15" t="s">
        <v>92</v>
      </c>
      <c r="C14" s="15"/>
      <c r="D14" s="13">
        <v>2.2000000000000002</v>
      </c>
      <c r="E14" s="14" t="s">
        <v>40</v>
      </c>
      <c r="F14" s="13" t="s">
        <v>416</v>
      </c>
      <c r="G14" s="13" t="s">
        <v>416</v>
      </c>
      <c r="H14" s="13" t="s">
        <v>510</v>
      </c>
      <c r="I14" s="14" t="s">
        <v>507</v>
      </c>
      <c r="J14" s="14" t="s">
        <v>499</v>
      </c>
      <c r="K14" s="14" t="s">
        <v>434</v>
      </c>
      <c r="L14" s="16">
        <v>2</v>
      </c>
      <c r="M14" s="24">
        <f>IFERROR(VLOOKUP(tblRiskRegister322[[#This Row],[Asset Class]],tblVCDBIndex[],4,FALSE),"")</f>
        <v>2</v>
      </c>
      <c r="N14" s="24">
        <f>IFERROR(VLOOKUP(10*tblRiskRegister322[[#This Row],[Safeguard Maturity Score]]+tblRiskRegister322[[#This Row],[VCDB Index]],tblHITIndexWeightTable[],4,FALSE),"")</f>
        <v>3</v>
      </c>
      <c r="O14" s="24">
        <f>VLOOKUP(tblRiskRegister322[[#This Row],[Asset Class]],tblInherentImpacts3046[],2,FALSE)</f>
        <v>4</v>
      </c>
      <c r="P14" s="24">
        <f>VLOOKUP(tblRiskRegister322[[#This Row],[Asset Class]],tblInherentImpacts3046[],3,FALSE)</f>
        <v>2</v>
      </c>
      <c r="Q14" s="24">
        <f>VLOOKUP(tblRiskRegister322[[#This Row],[Asset Class]],tblInherentImpacts3046[],4,FALSE)</f>
        <v>4</v>
      </c>
      <c r="R14" s="24">
        <f>VLOOKUP(tblRiskRegister322[[#This Row],[Asset Class]],tblInherentImpacts3046[],5,FALSE)</f>
        <v>5</v>
      </c>
      <c r="S14" s="24">
        <f>IFERROR(MAX(tblRiskRegister322[[#This Row],[Impact to Mission]:[Impact to Obligations]])*tblRiskRegister322[[#This Row],[Expectancy Score]],"")</f>
        <v>15</v>
      </c>
      <c r="T14" s="24">
        <f>tblRiskRegister322[[#This Row],[Risk Score]]</f>
        <v>15</v>
      </c>
      <c r="U14" s="13" t="s">
        <v>448</v>
      </c>
      <c r="V14" s="50">
        <v>2.2000000000000002</v>
      </c>
      <c r="W14" s="15" t="s">
        <v>40</v>
      </c>
      <c r="X14" s="15" t="s">
        <v>289</v>
      </c>
      <c r="Y14" s="26"/>
      <c r="Z14" s="16"/>
      <c r="AA14" s="23" t="str">
        <f>IFERROR(VLOOKUP(10*tblRiskRegister322[[#This Row],[Risk Treatment Safeguard Maturity Score]]+tblRiskRegister322[[#This Row],[VCDB Index]],tblHITIndexWeightTable[],4,FALSE),"")</f>
        <v/>
      </c>
      <c r="AB14" s="65">
        <f>VLOOKUP(tblRiskRegister322[[#This Row],[Asset Class]],tblInherentImpacts3046[],2,FALSE)</f>
        <v>4</v>
      </c>
      <c r="AC14" s="65">
        <f>VLOOKUP(tblRiskRegister322[[#This Row],[Asset Class]],tblInherentImpacts3046[],3,FALSE)</f>
        <v>2</v>
      </c>
      <c r="AD14" s="65">
        <f>VLOOKUP(tblRiskRegister322[[#This Row],[Asset Class]],tblInherentImpacts3046[],3,FALSE)</f>
        <v>2</v>
      </c>
      <c r="AE14" s="65">
        <f>VLOOKUP(tblRiskRegister322[[#This Row],[Asset Class]],tblInherentImpacts3046[],4,FALSE)</f>
        <v>4</v>
      </c>
      <c r="AF14" s="23" t="str">
        <f>IFERROR(MAX(tblRiskRegister322[[#This Row],[Risk Treatment Safeguard Impact to Mission]:[Risk Treatment Safeguard Impact to Obligations]])*tblRiskRegister322[[#This Row],[Risk Treatment
Safeguard Expectancy Score]],"")</f>
        <v/>
      </c>
      <c r="AG14" s="23" t="str">
        <f>IF(tblRiskRegister322[[#This Row],[Risk Score]]&gt;AcceptableRisk1,IF(tblRiskRegister322[[#This Row],[Risk Treatment Safeguard Risk Score]]&lt;AcceptableRisk1, IF(tblRiskRegister322[[#This Row],[Risk Treatment Safeguard Risk Score]]&lt;=tblRiskRegister322[[#This Row],[Risk Score]],"Yes","No"),"No"),"Yes")</f>
        <v>No</v>
      </c>
      <c r="AH14" s="17"/>
      <c r="AI14" s="17"/>
      <c r="AJ14" s="18"/>
      <c r="AL14" s="19">
        <f>SUMIF(tblRiskRegister322[[#All],[Implementation Year]],"="&amp;tblCostImpacts335[[#This Row],[Year]],tblRiskRegister322[[#All],[Risk Treatment Safeguard Cost]])</f>
        <v>0</v>
      </c>
      <c r="AM14" s="6">
        <v>2024</v>
      </c>
      <c r="AN14" s="6" t="str">
        <f>IF(tblCostImpacts335[[#This Row],[Impact to Financial Objectives]]&lt;='Enterprise Parameters  -EXAMPLE'!$F$13,"Yes","No")</f>
        <v>Yes</v>
      </c>
    </row>
    <row r="15" spans="2:40" ht="140">
      <c r="B15" s="15" t="s">
        <v>92</v>
      </c>
      <c r="C15" s="15" t="s">
        <v>445</v>
      </c>
      <c r="D15" s="13">
        <v>2.2999999999999998</v>
      </c>
      <c r="E15" s="14" t="s">
        <v>41</v>
      </c>
      <c r="F15" s="13" t="s">
        <v>416</v>
      </c>
      <c r="G15" s="13" t="s">
        <v>416</v>
      </c>
      <c r="H15" s="13" t="s">
        <v>511</v>
      </c>
      <c r="I15" s="14" t="s">
        <v>442</v>
      </c>
      <c r="J15" s="14" t="s">
        <v>500</v>
      </c>
      <c r="K15" s="14" t="s">
        <v>435</v>
      </c>
      <c r="L15" s="66">
        <v>4</v>
      </c>
      <c r="M15" s="24">
        <f>IFERROR(VLOOKUP(tblRiskRegister322[[#This Row],[Asset Class]],tblVCDBIndex[],4,FALSE),"")</f>
        <v>2</v>
      </c>
      <c r="N15" s="24">
        <f>IFERROR(VLOOKUP(10*tblRiskRegister322[[#This Row],[Safeguard Maturity Score]]+tblRiskRegister322[[#This Row],[VCDB Index]],tblHITIndexWeightTable[],4,FALSE),"")</f>
        <v>2</v>
      </c>
      <c r="O15" s="24">
        <f>VLOOKUP(tblRiskRegister322[[#This Row],[Asset Class]],tblInherentImpacts3046[],2,FALSE)</f>
        <v>4</v>
      </c>
      <c r="P15" s="24">
        <f>VLOOKUP(tblRiskRegister322[[#This Row],[Asset Class]],tblInherentImpacts3046[],3,FALSE)</f>
        <v>2</v>
      </c>
      <c r="Q15" s="24">
        <f>VLOOKUP(tblRiskRegister322[[#This Row],[Asset Class]],tblInherentImpacts3046[],4,FALSE)</f>
        <v>4</v>
      </c>
      <c r="R15" s="24">
        <f>VLOOKUP(tblRiskRegister322[[#This Row],[Asset Class]],tblInherentImpacts3046[],5,FALSE)</f>
        <v>5</v>
      </c>
      <c r="S15" s="24">
        <f>IFERROR(MAX(tblRiskRegister322[[#This Row],[Impact to Mission]:[Impact to Obligations]])*tblRiskRegister322[[#This Row],[Expectancy Score]],"")</f>
        <v>10</v>
      </c>
      <c r="T15" s="24">
        <f>tblRiskRegister322[[#This Row],[Risk Score]]</f>
        <v>10</v>
      </c>
      <c r="U15" s="13" t="s">
        <v>448</v>
      </c>
      <c r="V15" s="50">
        <v>2.2999999999999998</v>
      </c>
      <c r="W15" s="15" t="s">
        <v>41</v>
      </c>
      <c r="X15" s="15" t="s">
        <v>290</v>
      </c>
      <c r="Y15" s="15" t="s">
        <v>446</v>
      </c>
      <c r="Z15" s="16">
        <v>5</v>
      </c>
      <c r="AA15" s="23">
        <f>IFERROR(VLOOKUP(10*tblRiskRegister322[[#This Row],[Risk Treatment Safeguard Maturity Score]]+tblRiskRegister322[[#This Row],[VCDB Index]],tblHITIndexWeightTable[],4,FALSE),"")</f>
        <v>1</v>
      </c>
      <c r="AB15" s="65">
        <f>VLOOKUP(tblRiskRegister322[[#This Row],[Asset Class]],tblInherentImpacts3046[],2,FALSE)</f>
        <v>4</v>
      </c>
      <c r="AC15" s="65">
        <f>VLOOKUP(tblRiskRegister322[[#This Row],[Asset Class]],tblInherentImpacts3046[],3,FALSE)</f>
        <v>2</v>
      </c>
      <c r="AD15" s="65">
        <f>VLOOKUP(tblRiskRegister322[[#This Row],[Asset Class]],tblInherentImpacts3046[],3,FALSE)</f>
        <v>2</v>
      </c>
      <c r="AE15" s="65">
        <f>VLOOKUP(tblRiskRegister322[[#This Row],[Asset Class]],tblInherentImpacts3046[],4,FALSE)</f>
        <v>4</v>
      </c>
      <c r="AF15" s="23">
        <f>IFERROR(MAX(tblRiskRegister322[[#This Row],[Risk Treatment Safeguard Impact to Mission]:[Risk Treatment Safeguard Impact to Obligations]])*tblRiskRegister322[[#This Row],[Risk Treatment
Safeguard Expectancy Score]],"")</f>
        <v>4</v>
      </c>
      <c r="AG15" s="23" t="str">
        <f>IF(tblRiskRegister322[[#This Row],[Risk Score]]&gt;AcceptableRisk1,IF(tblRiskRegister322[[#This Row],[Risk Treatment Safeguard Risk Score]]&lt;AcceptableRisk1, IF(tblRiskRegister322[[#This Row],[Risk Treatment Safeguard Risk Score]]&lt;=tblRiskRegister322[[#This Row],[Risk Score]],"Yes","No"),"No"),"Yes")</f>
        <v>Yes</v>
      </c>
      <c r="AH15" s="17">
        <v>0</v>
      </c>
      <c r="AI15" s="17" t="s">
        <v>447</v>
      </c>
      <c r="AJ15" s="18">
        <v>2022</v>
      </c>
      <c r="AL15" s="19">
        <f>SUMIF(tblRiskRegister322[[#All],[Implementation Year]],"="&amp;tblCostImpacts335[[#This Row],[Year]],tblRiskRegister322[[#All],[Risk Treatment Safeguard Cost]])</f>
        <v>0</v>
      </c>
      <c r="AM15" s="6">
        <v>2025</v>
      </c>
      <c r="AN15" s="6" t="str">
        <f>IF(tblCostImpacts335[[#This Row],[Impact to Financial Objectives]]&lt;='Enterprise Parameters  -EXAMPLE'!$F$13,"Yes","No")</f>
        <v>Yes</v>
      </c>
    </row>
    <row r="16" spans="2:40" ht="56">
      <c r="B16" s="15" t="s">
        <v>92</v>
      </c>
      <c r="C16" s="15" t="s">
        <v>445</v>
      </c>
      <c r="D16" s="13">
        <v>2.4</v>
      </c>
      <c r="E16" s="14" t="s">
        <v>160</v>
      </c>
      <c r="F16" s="13"/>
      <c r="G16" s="13" t="s">
        <v>416</v>
      </c>
      <c r="H16" s="13" t="s">
        <v>513</v>
      </c>
      <c r="I16" s="14" t="s">
        <v>440</v>
      </c>
      <c r="J16" s="14" t="s">
        <v>499</v>
      </c>
      <c r="K16" s="14" t="s">
        <v>434</v>
      </c>
      <c r="L16" s="66">
        <v>5</v>
      </c>
      <c r="M16" s="24">
        <f>IFERROR(VLOOKUP(tblRiskRegister322[[#This Row],[Asset Class]],tblVCDBIndex[],4,FALSE),"")</f>
        <v>2</v>
      </c>
      <c r="N16" s="24">
        <f>IFERROR(VLOOKUP(10*tblRiskRegister322[[#This Row],[Safeguard Maturity Score]]+tblRiskRegister322[[#This Row],[VCDB Index]],tblHITIndexWeightTable[],4,FALSE),"")</f>
        <v>1</v>
      </c>
      <c r="O16" s="24">
        <f>VLOOKUP(tblRiskRegister322[[#This Row],[Asset Class]],tblInherentImpacts3046[],2,FALSE)</f>
        <v>4</v>
      </c>
      <c r="P16" s="24">
        <f>VLOOKUP(tblRiskRegister322[[#This Row],[Asset Class]],tblInherentImpacts3046[],3,FALSE)</f>
        <v>2</v>
      </c>
      <c r="Q16" s="24">
        <f>VLOOKUP(tblRiskRegister322[[#This Row],[Asset Class]],tblInherentImpacts3046[],4,FALSE)</f>
        <v>4</v>
      </c>
      <c r="R16" s="24">
        <f>VLOOKUP(tblRiskRegister322[[#This Row],[Asset Class]],tblInherentImpacts3046[],5,FALSE)</f>
        <v>5</v>
      </c>
      <c r="S16" s="24">
        <f>IFERROR(MAX(tblRiskRegister322[[#This Row],[Impact to Mission]:[Impact to Obligations]])*tblRiskRegister322[[#This Row],[Expectancy Score]],"")</f>
        <v>5</v>
      </c>
      <c r="T16" s="24">
        <f>tblRiskRegister322[[#This Row],[Risk Score]]</f>
        <v>5</v>
      </c>
      <c r="U16" s="13" t="s">
        <v>449</v>
      </c>
      <c r="V16" s="50">
        <v>2.4</v>
      </c>
      <c r="W16" s="15" t="s">
        <v>160</v>
      </c>
      <c r="X16" s="15" t="s">
        <v>291</v>
      </c>
      <c r="Y16" s="15"/>
      <c r="Z16" s="16"/>
      <c r="AA16" s="23" t="str">
        <f>IFERROR(VLOOKUP(10*tblRiskRegister322[[#This Row],[Risk Treatment Safeguard Maturity Score]]+tblRiskRegister322[[#This Row],[VCDB Index]],tblHITIndexWeightTable[],4,FALSE),"")</f>
        <v/>
      </c>
      <c r="AB16" s="65">
        <f>VLOOKUP(tblRiskRegister322[[#This Row],[Asset Class]],tblInherentImpacts3046[],2,FALSE)</f>
        <v>4</v>
      </c>
      <c r="AC16" s="65">
        <f>VLOOKUP(tblRiskRegister322[[#This Row],[Asset Class]],tblInherentImpacts3046[],3,FALSE)</f>
        <v>2</v>
      </c>
      <c r="AD16" s="65">
        <f>VLOOKUP(tblRiskRegister322[[#This Row],[Asset Class]],tblInherentImpacts3046[],3,FALSE)</f>
        <v>2</v>
      </c>
      <c r="AE16" s="65">
        <f>VLOOKUP(tblRiskRegister322[[#This Row],[Asset Class]],tblInherentImpacts3046[],4,FALSE)</f>
        <v>4</v>
      </c>
      <c r="AF16" s="23" t="str">
        <f>IFERROR(MAX(tblRiskRegister322[[#This Row],[Risk Treatment Safeguard Impact to Mission]:[Risk Treatment Safeguard Impact to Obligations]])*tblRiskRegister322[[#This Row],[Risk Treatment
Safeguard Expectancy Score]],"")</f>
        <v/>
      </c>
      <c r="AG16" s="23" t="str">
        <f>IF(tblRiskRegister322[[#This Row],[Risk Score]]&gt;AcceptableRisk1,IF(tblRiskRegister322[[#This Row],[Risk Treatment Safeguard Risk Score]]&lt;AcceptableRisk1, IF(tblRiskRegister322[[#This Row],[Risk Treatment Safeguard Risk Score]]&lt;=tblRiskRegister322[[#This Row],[Risk Score]],"Yes","No"),"No"),"Yes")</f>
        <v>Yes</v>
      </c>
      <c r="AH16" s="17"/>
      <c r="AI16" s="17"/>
      <c r="AJ16" s="18"/>
      <c r="AL16" s="19">
        <f>SUMIF(tblRiskRegister322[[#All],[Implementation Year]],"="&amp;tblCostImpacts335[[#This Row],[Year]],tblRiskRegister322[[#All],[Risk Treatment Safeguard Cost]])</f>
        <v>0</v>
      </c>
      <c r="AM16" s="6">
        <v>2026</v>
      </c>
      <c r="AN16" s="6" t="str">
        <f>IF(tblCostImpacts335[[#This Row],[Impact to Financial Objectives]]&lt;='Enterprise Parameters  -EXAMPLE'!$F$13,"Yes","No")</f>
        <v>Yes</v>
      </c>
    </row>
    <row r="17" spans="2:40" ht="70">
      <c r="B17" s="15" t="s">
        <v>92</v>
      </c>
      <c r="C17" s="15" t="s">
        <v>445</v>
      </c>
      <c r="D17" s="13">
        <v>2.5</v>
      </c>
      <c r="E17" s="14" t="s">
        <v>161</v>
      </c>
      <c r="F17" s="13"/>
      <c r="G17" s="13" t="s">
        <v>416</v>
      </c>
      <c r="H17" s="13" t="s">
        <v>512</v>
      </c>
      <c r="I17" s="14" t="s">
        <v>501</v>
      </c>
      <c r="J17" s="14" t="s">
        <v>502</v>
      </c>
      <c r="K17" s="14" t="s">
        <v>443</v>
      </c>
      <c r="L17" s="66">
        <v>4</v>
      </c>
      <c r="M17" s="24">
        <f>IFERROR(VLOOKUP(tblRiskRegister322[[#This Row],[Asset Class]],tblVCDBIndex[],4,FALSE),"")</f>
        <v>2</v>
      </c>
      <c r="N17" s="24">
        <f>IFERROR(VLOOKUP(10*tblRiskRegister322[[#This Row],[Safeguard Maturity Score]]+tblRiskRegister322[[#This Row],[VCDB Index]],tblHITIndexWeightTable[],4,FALSE),"")</f>
        <v>2</v>
      </c>
      <c r="O17" s="24">
        <f>VLOOKUP(tblRiskRegister322[[#This Row],[Asset Class]],tblInherentImpacts3046[],2,FALSE)</f>
        <v>4</v>
      </c>
      <c r="P17" s="24">
        <f>VLOOKUP(tblRiskRegister322[[#This Row],[Asset Class]],tblInherentImpacts3046[],3,FALSE)</f>
        <v>2</v>
      </c>
      <c r="Q17" s="24">
        <f>VLOOKUP(tblRiskRegister322[[#This Row],[Asset Class]],tblInherentImpacts3046[],4,FALSE)</f>
        <v>4</v>
      </c>
      <c r="R17" s="24">
        <f>VLOOKUP(tblRiskRegister322[[#This Row],[Asset Class]],tblInherentImpacts3046[],5,FALSE)</f>
        <v>5</v>
      </c>
      <c r="S17" s="24">
        <f>IFERROR(MAX(tblRiskRegister322[[#This Row],[Impact to Mission]:[Impact to Obligations]])*tblRiskRegister322[[#This Row],[Expectancy Score]],"")</f>
        <v>10</v>
      </c>
      <c r="T17" s="24">
        <f>tblRiskRegister322[[#This Row],[Risk Score]]</f>
        <v>10</v>
      </c>
      <c r="U17" s="13" t="s">
        <v>448</v>
      </c>
      <c r="V17" s="50">
        <v>2.5</v>
      </c>
      <c r="W17" s="15" t="s">
        <v>161</v>
      </c>
      <c r="X17" s="15" t="s">
        <v>292</v>
      </c>
      <c r="Y17" s="15"/>
      <c r="Z17" s="16"/>
      <c r="AA17" s="23" t="str">
        <f>IFERROR(VLOOKUP(10*tblRiskRegister322[[#This Row],[Risk Treatment Safeguard Maturity Score]]+tblRiskRegister322[[#This Row],[VCDB Index]],tblHITIndexWeightTable[],4,FALSE),"")</f>
        <v/>
      </c>
      <c r="AB17" s="65">
        <f>VLOOKUP(tblRiskRegister322[[#This Row],[Asset Class]],tblInherentImpacts3046[],2,FALSE)</f>
        <v>4</v>
      </c>
      <c r="AC17" s="65">
        <f>VLOOKUP(tblRiskRegister322[[#This Row],[Asset Class]],tblInherentImpacts3046[],3,FALSE)</f>
        <v>2</v>
      </c>
      <c r="AD17" s="65">
        <f>VLOOKUP(tblRiskRegister322[[#This Row],[Asset Class]],tblInherentImpacts3046[],3,FALSE)</f>
        <v>2</v>
      </c>
      <c r="AE17" s="65">
        <f>VLOOKUP(tblRiskRegister322[[#This Row],[Asset Class]],tblInherentImpacts3046[],4,FALSE)</f>
        <v>4</v>
      </c>
      <c r="AF17" s="23" t="str">
        <f>IFERROR(MAX(tblRiskRegister322[[#This Row],[Risk Treatment Safeguard Impact to Mission]:[Risk Treatment Safeguard Impact to Obligations]])*tblRiskRegister322[[#This Row],[Risk Treatment
Safeguard Expectancy Score]],"")</f>
        <v/>
      </c>
      <c r="AG17" s="23" t="str">
        <f>IF(tblRiskRegister322[[#This Row],[Risk Score]]&gt;AcceptableRisk1,IF(tblRiskRegister322[[#This Row],[Risk Treatment Safeguard Risk Score]]&lt;AcceptableRisk1, IF(tblRiskRegister322[[#This Row],[Risk Treatment Safeguard Risk Score]]&lt;=tblRiskRegister322[[#This Row],[Risk Score]],"Yes","No"),"No"),"Yes")</f>
        <v>No</v>
      </c>
      <c r="AH17" s="17"/>
      <c r="AI17" s="17"/>
      <c r="AJ17" s="18"/>
      <c r="AL17" s="19">
        <f>SUMIF(tblRiskRegister322[[#All],[Implementation Year]],"="&amp;tblCostImpacts335[[#This Row],[Year]],tblRiskRegister322[[#All],[Risk Treatment Safeguard Cost]])</f>
        <v>0</v>
      </c>
      <c r="AM17" s="6">
        <v>2027</v>
      </c>
      <c r="AN17" s="6" t="str">
        <f>IF(tblCostImpacts335[[#This Row],[Impact to Financial Objectives]]&lt;='Enterprise Parameters  -EXAMPLE'!$F$13,"Yes","No")</f>
        <v>Yes</v>
      </c>
    </row>
    <row r="18" spans="2:40" ht="70">
      <c r="B18" s="15" t="s">
        <v>92</v>
      </c>
      <c r="C18" s="15" t="s">
        <v>445</v>
      </c>
      <c r="D18" s="13">
        <v>2.6</v>
      </c>
      <c r="E18" s="14" t="s">
        <v>162</v>
      </c>
      <c r="F18" s="13"/>
      <c r="G18" s="13" t="s">
        <v>416</v>
      </c>
      <c r="H18" s="13" t="s">
        <v>512</v>
      </c>
      <c r="I18" s="14" t="s">
        <v>444</v>
      </c>
      <c r="J18" s="14" t="s">
        <v>502</v>
      </c>
      <c r="K18" s="14" t="s">
        <v>443</v>
      </c>
      <c r="L18" s="66">
        <v>5</v>
      </c>
      <c r="M18" s="24">
        <f>IFERROR(VLOOKUP(tblRiskRegister322[[#This Row],[Asset Class]],tblVCDBIndex[],4,FALSE),"")</f>
        <v>2</v>
      </c>
      <c r="N18" s="24">
        <f>IFERROR(VLOOKUP(10*tblRiskRegister322[[#This Row],[Safeguard Maturity Score]]+tblRiskRegister322[[#This Row],[VCDB Index]],tblHITIndexWeightTable[],4,FALSE),"")</f>
        <v>1</v>
      </c>
      <c r="O18" s="24">
        <f>VLOOKUP(tblRiskRegister322[[#This Row],[Asset Class]],tblInherentImpacts3046[],2,FALSE)</f>
        <v>4</v>
      </c>
      <c r="P18" s="24">
        <f>VLOOKUP(tblRiskRegister322[[#This Row],[Asset Class]],tblInherentImpacts3046[],3,FALSE)</f>
        <v>2</v>
      </c>
      <c r="Q18" s="24">
        <f>VLOOKUP(tblRiskRegister322[[#This Row],[Asset Class]],tblInherentImpacts3046[],4,FALSE)</f>
        <v>4</v>
      </c>
      <c r="R18" s="24">
        <f>VLOOKUP(tblRiskRegister322[[#This Row],[Asset Class]],tblInherentImpacts3046[],5,FALSE)</f>
        <v>5</v>
      </c>
      <c r="S18" s="24">
        <f>IFERROR(MAX(tblRiskRegister322[[#This Row],[Impact to Mission]:[Impact to Obligations]])*tblRiskRegister322[[#This Row],[Expectancy Score]],"")</f>
        <v>5</v>
      </c>
      <c r="T18" s="24">
        <f>tblRiskRegister322[[#This Row],[Risk Score]]</f>
        <v>5</v>
      </c>
      <c r="U18" s="13" t="s">
        <v>449</v>
      </c>
      <c r="V18" s="50">
        <v>2.6</v>
      </c>
      <c r="W18" s="15" t="s">
        <v>162</v>
      </c>
      <c r="X18" s="15" t="s">
        <v>293</v>
      </c>
      <c r="Y18" s="15"/>
      <c r="Z18" s="16"/>
      <c r="AA18" s="23" t="str">
        <f>IFERROR(VLOOKUP(10*tblRiskRegister322[[#This Row],[Risk Treatment Safeguard Maturity Score]]+tblRiskRegister322[[#This Row],[VCDB Index]],tblHITIndexWeightTable[],4,FALSE),"")</f>
        <v/>
      </c>
      <c r="AB18" s="65">
        <f>VLOOKUP(tblRiskRegister322[[#This Row],[Asset Class]],tblInherentImpacts3046[],2,FALSE)</f>
        <v>4</v>
      </c>
      <c r="AC18" s="65">
        <f>VLOOKUP(tblRiskRegister322[[#This Row],[Asset Class]],tblInherentImpacts3046[],3,FALSE)</f>
        <v>2</v>
      </c>
      <c r="AD18" s="65">
        <f>VLOOKUP(tblRiskRegister322[[#This Row],[Asset Class]],tblInherentImpacts3046[],3,FALSE)</f>
        <v>2</v>
      </c>
      <c r="AE18" s="65">
        <f>VLOOKUP(tblRiskRegister322[[#This Row],[Asset Class]],tblInherentImpacts3046[],4,FALSE)</f>
        <v>4</v>
      </c>
      <c r="AF18" s="23" t="str">
        <f>IFERROR(MAX(tblRiskRegister322[[#This Row],[Risk Treatment Safeguard Impact to Mission]:[Risk Treatment Safeguard Impact to Obligations]])*tblRiskRegister322[[#This Row],[Risk Treatment
Safeguard Expectancy Score]],"")</f>
        <v/>
      </c>
      <c r="AG18" s="23" t="str">
        <f>IF(tblRiskRegister322[[#This Row],[Risk Score]]&gt;AcceptableRisk1,IF(tblRiskRegister322[[#This Row],[Risk Treatment Safeguard Risk Score]]&lt;AcceptableRisk1, IF(tblRiskRegister322[[#This Row],[Risk Treatment Safeguard Risk Score]]&lt;=tblRiskRegister322[[#This Row],[Risk Score]],"Yes","No"),"No"),"Yes")</f>
        <v>Yes</v>
      </c>
      <c r="AH18" s="17"/>
      <c r="AI18" s="17"/>
      <c r="AJ18" s="18"/>
      <c r="AL18" s="19">
        <f>SUMIF(tblRiskRegister322[[#All],[Implementation Year]],"="&amp;tblCostImpacts335[[#This Row],[Year]],tblRiskRegister322[[#All],[Risk Treatment Safeguard Cost]])</f>
        <v>0</v>
      </c>
      <c r="AM18" s="6">
        <v>2028</v>
      </c>
      <c r="AN18" s="6" t="str">
        <f>IF(tblCostImpacts335[[#This Row],[Impact to Financial Objectives]]&lt;='Enterprise Parameters  -EXAMPLE'!$F$13,"Yes","No")</f>
        <v>Yes</v>
      </c>
    </row>
    <row r="19" spans="2:40" ht="112">
      <c r="B19" s="15" t="s">
        <v>92</v>
      </c>
      <c r="C19" s="15" t="s">
        <v>445</v>
      </c>
      <c r="D19" s="13">
        <v>4.0999999999999996</v>
      </c>
      <c r="E19" s="14" t="s">
        <v>48</v>
      </c>
      <c r="F19" s="13" t="s">
        <v>416</v>
      </c>
      <c r="G19" s="13" t="s">
        <v>416</v>
      </c>
      <c r="H19" s="13" t="s">
        <v>512</v>
      </c>
      <c r="I19" s="14" t="s">
        <v>436</v>
      </c>
      <c r="J19" s="14" t="s">
        <v>504</v>
      </c>
      <c r="K19" s="14" t="s">
        <v>503</v>
      </c>
      <c r="L19" s="66">
        <v>2</v>
      </c>
      <c r="M19" s="24">
        <f>IFERROR(VLOOKUP(tblRiskRegister322[[#This Row],[Asset Class]],tblVCDBIndex[],4,FALSE),"")</f>
        <v>2</v>
      </c>
      <c r="N19" s="24">
        <f>IFERROR(VLOOKUP(10*tblRiskRegister322[[#This Row],[Safeguard Maturity Score]]+tblRiskRegister322[[#This Row],[VCDB Index]],tblHITIndexWeightTable[],4,FALSE),"")</f>
        <v>3</v>
      </c>
      <c r="O19" s="24">
        <f>VLOOKUP(tblRiskRegister322[[#This Row],[Asset Class]],tblInherentImpacts3046[],2,FALSE)</f>
        <v>4</v>
      </c>
      <c r="P19" s="24">
        <f>VLOOKUP(tblRiskRegister322[[#This Row],[Asset Class]],tblInherentImpacts3046[],3,FALSE)</f>
        <v>2</v>
      </c>
      <c r="Q19" s="24">
        <f>VLOOKUP(tblRiskRegister322[[#This Row],[Asset Class]],tblInherentImpacts3046[],4,FALSE)</f>
        <v>4</v>
      </c>
      <c r="R19" s="24">
        <f>VLOOKUP(tblRiskRegister322[[#This Row],[Asset Class]],tblInherentImpacts3046[],5,FALSE)</f>
        <v>5</v>
      </c>
      <c r="S19" s="24">
        <f>IFERROR(MAX(tblRiskRegister322[[#This Row],[Impact to Mission]:[Impact to Obligations]])*tblRiskRegister322[[#This Row],[Expectancy Score]],"")</f>
        <v>15</v>
      </c>
      <c r="T19" s="24">
        <f>tblRiskRegister322[[#This Row],[Risk Score]]</f>
        <v>15</v>
      </c>
      <c r="U19" s="13" t="s">
        <v>448</v>
      </c>
      <c r="V19" s="50">
        <v>4.0999999999999996</v>
      </c>
      <c r="W19" s="15" t="s">
        <v>48</v>
      </c>
      <c r="X19" s="15" t="s">
        <v>306</v>
      </c>
      <c r="Y19" s="15" t="s">
        <v>493</v>
      </c>
      <c r="Z19" s="16">
        <v>4</v>
      </c>
      <c r="AA19" s="23">
        <f>IFERROR(VLOOKUP(10*tblRiskRegister322[[#This Row],[Risk Treatment Safeguard Maturity Score]]+tblRiskRegister322[[#This Row],[VCDB Index]],tblHITIndexWeightTable[],4,FALSE),"")</f>
        <v>2</v>
      </c>
      <c r="AB19" s="65">
        <f>VLOOKUP(tblRiskRegister322[[#This Row],[Asset Class]],tblInherentImpacts3046[],2,FALSE)</f>
        <v>4</v>
      </c>
      <c r="AC19" s="65">
        <f>VLOOKUP(tblRiskRegister322[[#This Row],[Asset Class]],tblInherentImpacts3046[],3,FALSE)</f>
        <v>2</v>
      </c>
      <c r="AD19" s="65">
        <f>VLOOKUP(tblRiskRegister322[[#This Row],[Asset Class]],tblInherentImpacts3046[],3,FALSE)</f>
        <v>2</v>
      </c>
      <c r="AE19" s="65">
        <f>VLOOKUP(tblRiskRegister322[[#This Row],[Asset Class]],tblInherentImpacts3046[],4,FALSE)</f>
        <v>4</v>
      </c>
      <c r="AF19" s="23">
        <f>IFERROR(MAX(tblRiskRegister322[[#This Row],[Risk Treatment Safeguard Impact to Mission]:[Risk Treatment Safeguard Impact to Obligations]])*tblRiskRegister322[[#This Row],[Risk Treatment
Safeguard Expectancy Score]],"")</f>
        <v>8</v>
      </c>
      <c r="AG19" s="23" t="str">
        <f>IF(tblRiskRegister322[[#This Row],[Risk Score]]&gt;AcceptableRisk1,IF(tblRiskRegister322[[#This Row],[Risk Treatment Safeguard Risk Score]]&lt;AcceptableRisk1, IF(tblRiskRegister322[[#This Row],[Risk Treatment Safeguard Risk Score]]&lt;=tblRiskRegister322[[#This Row],[Risk Score]],"Yes","No"),"No"),"Yes")</f>
        <v>Yes</v>
      </c>
      <c r="AH19" s="17">
        <v>501000</v>
      </c>
      <c r="AI19" s="17" t="s">
        <v>447</v>
      </c>
      <c r="AJ19" s="18">
        <v>2022</v>
      </c>
      <c r="AL19" s="19">
        <f>SUMIF(tblRiskRegister322[[#All],[Implementation Year]],"="&amp;tblCostImpacts335[[#This Row],[Year]],tblRiskRegister322[[#All],[Risk Treatment Safeguard Cost]])</f>
        <v>0</v>
      </c>
      <c r="AM19" s="6">
        <v>2029</v>
      </c>
      <c r="AN19" s="6" t="str">
        <f>IF(tblCostImpacts335[[#This Row],[Impact to Financial Objectives]]&lt;='Enterprise Parameters  -EXAMPLE'!$F$13,"Yes","No")</f>
        <v>Yes</v>
      </c>
    </row>
    <row r="20" spans="2:40" ht="56">
      <c r="B20" s="15" t="s">
        <v>92</v>
      </c>
      <c r="C20" s="15" t="s">
        <v>445</v>
      </c>
      <c r="D20" s="13">
        <v>7.1</v>
      </c>
      <c r="E20" s="14" t="s">
        <v>62</v>
      </c>
      <c r="F20" s="13" t="s">
        <v>416</v>
      </c>
      <c r="G20" s="13" t="s">
        <v>416</v>
      </c>
      <c r="H20" s="13" t="s">
        <v>512</v>
      </c>
      <c r="I20" s="14" t="s">
        <v>437</v>
      </c>
      <c r="J20" s="14"/>
      <c r="K20" s="14" t="s">
        <v>438</v>
      </c>
      <c r="L20" s="16">
        <v>3</v>
      </c>
      <c r="M20" s="24">
        <f>IFERROR(VLOOKUP(tblRiskRegister322[[#This Row],[Asset Class]],tblVCDBIndex[],4,FALSE),"")</f>
        <v>2</v>
      </c>
      <c r="N20" s="24">
        <f>IFERROR(VLOOKUP(10*tblRiskRegister322[[#This Row],[Safeguard Maturity Score]]+tblRiskRegister322[[#This Row],[VCDB Index]],tblHITIndexWeightTable[],4,FALSE),"")</f>
        <v>2</v>
      </c>
      <c r="O20" s="24">
        <f>VLOOKUP(tblRiskRegister322[[#This Row],[Asset Class]],tblInherentImpacts3046[],2,FALSE)</f>
        <v>4</v>
      </c>
      <c r="P20" s="24">
        <f>VLOOKUP(tblRiskRegister322[[#This Row],[Asset Class]],tblInherentImpacts3046[],3,FALSE)</f>
        <v>2</v>
      </c>
      <c r="Q20" s="24">
        <f>VLOOKUP(tblRiskRegister322[[#This Row],[Asset Class]],tblInherentImpacts3046[],4,FALSE)</f>
        <v>4</v>
      </c>
      <c r="R20" s="24">
        <f>VLOOKUP(tblRiskRegister322[[#This Row],[Asset Class]],tblInherentImpacts3046[],5,FALSE)</f>
        <v>5</v>
      </c>
      <c r="S20" s="24">
        <f>IFERROR(MAX(tblRiskRegister322[[#This Row],[Impact to Mission]:[Impact to Obligations]])*tblRiskRegister322[[#This Row],[Expectancy Score]],"")</f>
        <v>10</v>
      </c>
      <c r="T20" s="24">
        <f>tblRiskRegister322[[#This Row],[Risk Score]]</f>
        <v>10</v>
      </c>
      <c r="U20" s="13" t="s">
        <v>448</v>
      </c>
      <c r="V20" s="50">
        <v>7.1</v>
      </c>
      <c r="W20" s="15" t="s">
        <v>62</v>
      </c>
      <c r="X20" s="15" t="s">
        <v>330</v>
      </c>
      <c r="Y20" s="15" t="s">
        <v>494</v>
      </c>
      <c r="Z20" s="16">
        <v>4</v>
      </c>
      <c r="AA20" s="23">
        <f>IFERROR(VLOOKUP(10*tblRiskRegister322[[#This Row],[Risk Treatment Safeguard Maturity Score]]+tblRiskRegister322[[#This Row],[VCDB Index]],tblHITIndexWeightTable[],4,FALSE),"")</f>
        <v>2</v>
      </c>
      <c r="AB20" s="65">
        <f>VLOOKUP(tblRiskRegister322[[#This Row],[Asset Class]],tblInherentImpacts3046[],2,FALSE)</f>
        <v>4</v>
      </c>
      <c r="AC20" s="65">
        <f>VLOOKUP(tblRiskRegister322[[#This Row],[Asset Class]],tblInherentImpacts3046[],3,FALSE)</f>
        <v>2</v>
      </c>
      <c r="AD20" s="65">
        <f>VLOOKUP(tblRiskRegister322[[#This Row],[Asset Class]],tblInherentImpacts3046[],3,FALSE)</f>
        <v>2</v>
      </c>
      <c r="AE20" s="65">
        <f>VLOOKUP(tblRiskRegister322[[#This Row],[Asset Class]],tblInherentImpacts3046[],4,FALSE)</f>
        <v>4</v>
      </c>
      <c r="AF20" s="23">
        <f>IFERROR(MAX(tblRiskRegister322[[#This Row],[Risk Treatment Safeguard Impact to Mission]:[Risk Treatment Safeguard Impact to Obligations]])*tblRiskRegister322[[#This Row],[Risk Treatment
Safeguard Expectancy Score]],"")</f>
        <v>8</v>
      </c>
      <c r="AG20" s="23" t="str">
        <f>IF(tblRiskRegister322[[#This Row],[Risk Score]]&gt;AcceptableRisk1,IF(tblRiskRegister322[[#This Row],[Risk Treatment Safeguard Risk Score]]&lt;AcceptableRisk1, IF(tblRiskRegister322[[#This Row],[Risk Treatment Safeguard Risk Score]]&lt;=tblRiskRegister322[[#This Row],[Risk Score]],"Yes","No"),"No"),"Yes")</f>
        <v>Yes</v>
      </c>
      <c r="AH20" s="17"/>
      <c r="AI20" s="17"/>
      <c r="AJ20" s="18"/>
      <c r="AL20" s="19">
        <f>SUMIF(tblRiskRegister322[[#All],[Implementation Year]],"="&amp;tblCostImpacts335[[#This Row],[Year]],tblRiskRegister322[[#All],[Risk Treatment Safeguard Cost]])</f>
        <v>0</v>
      </c>
      <c r="AM20" s="6">
        <v>2030</v>
      </c>
      <c r="AN20" s="6" t="str">
        <f>IF(tblCostImpacts335[[#This Row],[Impact to Financial Objectives]]&lt;='Enterprise Parameters  -EXAMPLE'!$F$13,"Yes","No")</f>
        <v>Yes</v>
      </c>
    </row>
    <row r="21" spans="2:40" ht="56">
      <c r="B21" s="15" t="s">
        <v>92</v>
      </c>
      <c r="C21" s="15" t="s">
        <v>445</v>
      </c>
      <c r="D21" s="13">
        <v>7.2</v>
      </c>
      <c r="E21" s="14" t="s">
        <v>63</v>
      </c>
      <c r="F21" s="13" t="s">
        <v>416</v>
      </c>
      <c r="G21" s="13" t="s">
        <v>416</v>
      </c>
      <c r="H21" s="13" t="s">
        <v>511</v>
      </c>
      <c r="I21" s="14" t="s">
        <v>439</v>
      </c>
      <c r="J21" s="14"/>
      <c r="K21" s="14" t="s">
        <v>438</v>
      </c>
      <c r="L21" s="16">
        <v>2</v>
      </c>
      <c r="M21" s="24">
        <f>IFERROR(VLOOKUP(tblRiskRegister322[[#This Row],[Asset Class]],tblVCDBIndex[],4,FALSE),"")</f>
        <v>2</v>
      </c>
      <c r="N21" s="24">
        <f>IFERROR(VLOOKUP(10*tblRiskRegister322[[#This Row],[Safeguard Maturity Score]]+tblRiskRegister322[[#This Row],[VCDB Index]],tblHITIndexWeightTable[],4,FALSE),"")</f>
        <v>3</v>
      </c>
      <c r="O21" s="24">
        <f>VLOOKUP(tblRiskRegister322[[#This Row],[Asset Class]],tblInherentImpacts3046[],2,FALSE)</f>
        <v>4</v>
      </c>
      <c r="P21" s="24">
        <f>VLOOKUP(tblRiskRegister322[[#This Row],[Asset Class]],tblInherentImpacts3046[],3,FALSE)</f>
        <v>2</v>
      </c>
      <c r="Q21" s="24">
        <f>VLOOKUP(tblRiskRegister322[[#This Row],[Asset Class]],tblInherentImpacts3046[],4,FALSE)</f>
        <v>4</v>
      </c>
      <c r="R21" s="24">
        <f>VLOOKUP(tblRiskRegister322[[#This Row],[Asset Class]],tblInherentImpacts3046[],5,FALSE)</f>
        <v>5</v>
      </c>
      <c r="S21" s="24">
        <f>IFERROR(MAX(tblRiskRegister322[[#This Row],[Impact to Mission]:[Impact to Obligations]])*tblRiskRegister322[[#This Row],[Expectancy Score]],"")</f>
        <v>15</v>
      </c>
      <c r="T21" s="24">
        <f>tblRiskRegister322[[#This Row],[Risk Score]]</f>
        <v>15</v>
      </c>
      <c r="U21" s="13" t="s">
        <v>448</v>
      </c>
      <c r="V21" s="50">
        <v>7.2</v>
      </c>
      <c r="W21" s="15" t="s">
        <v>63</v>
      </c>
      <c r="X21" s="15" t="s">
        <v>331</v>
      </c>
      <c r="Y21" s="15" t="s">
        <v>495</v>
      </c>
      <c r="Z21" s="16">
        <v>5</v>
      </c>
      <c r="AA21" s="23">
        <f>IFERROR(VLOOKUP(10*tblRiskRegister322[[#This Row],[Risk Treatment Safeguard Maturity Score]]+tblRiskRegister322[[#This Row],[VCDB Index]],tblHITIndexWeightTable[],4,FALSE),"")</f>
        <v>1</v>
      </c>
      <c r="AB21" s="65">
        <f>VLOOKUP(tblRiskRegister322[[#This Row],[Asset Class]],tblInherentImpacts3046[],2,FALSE)</f>
        <v>4</v>
      </c>
      <c r="AC21" s="65">
        <f>VLOOKUP(tblRiskRegister322[[#This Row],[Asset Class]],tblInherentImpacts3046[],3,FALSE)</f>
        <v>2</v>
      </c>
      <c r="AD21" s="65">
        <f>VLOOKUP(tblRiskRegister322[[#This Row],[Asset Class]],tblInherentImpacts3046[],3,FALSE)</f>
        <v>2</v>
      </c>
      <c r="AE21" s="65">
        <f>VLOOKUP(tblRiskRegister322[[#This Row],[Asset Class]],tblInherentImpacts3046[],4,FALSE)</f>
        <v>4</v>
      </c>
      <c r="AF21" s="23">
        <f>IFERROR(MAX(tblRiskRegister322[[#This Row],[Risk Treatment Safeguard Impact to Mission]:[Risk Treatment Safeguard Impact to Obligations]])*tblRiskRegister322[[#This Row],[Risk Treatment
Safeguard Expectancy Score]],"")</f>
        <v>4</v>
      </c>
      <c r="AG21" s="23" t="str">
        <f>IF(tblRiskRegister322[[#This Row],[Risk Score]]&gt;AcceptableRisk1,IF(tblRiskRegister322[[#This Row],[Risk Treatment Safeguard Risk Score]]&lt;AcceptableRisk1, IF(tblRiskRegister322[[#This Row],[Risk Treatment Safeguard Risk Score]]&lt;=tblRiskRegister322[[#This Row],[Risk Score]],"Yes","No"),"No"),"Yes")</f>
        <v>Yes</v>
      </c>
      <c r="AH21" s="17"/>
      <c r="AI21" s="17"/>
      <c r="AJ21" s="18"/>
    </row>
    <row r="22" spans="2:40" ht="28">
      <c r="B22" s="15" t="s">
        <v>92</v>
      </c>
      <c r="C22" s="15"/>
      <c r="D22" s="13">
        <v>7.3</v>
      </c>
      <c r="E22" s="14" t="s">
        <v>64</v>
      </c>
      <c r="F22" s="13" t="s">
        <v>416</v>
      </c>
      <c r="G22" s="13" t="s">
        <v>416</v>
      </c>
      <c r="H22" s="13" t="s">
        <v>512</v>
      </c>
      <c r="I22" s="14"/>
      <c r="J22" s="14"/>
      <c r="K22" s="14"/>
      <c r="L22" s="16"/>
      <c r="M22" s="24">
        <f>IFERROR(VLOOKUP(tblRiskRegister322[[#This Row],[Asset Class]],tblVCDBIndex[],4,FALSE),"")</f>
        <v>2</v>
      </c>
      <c r="N22" s="24" t="str">
        <f>IFERROR(VLOOKUP(10*tblRiskRegister322[[#This Row],[Safeguard Maturity Score]]+tblRiskRegister322[[#This Row],[VCDB Index]],tblHITIndexWeightTable[],4,FALSE),"")</f>
        <v/>
      </c>
      <c r="O22" s="24">
        <f>VLOOKUP(tblRiskRegister322[[#This Row],[Asset Class]],tblInherentImpacts3046[],2,FALSE)</f>
        <v>4</v>
      </c>
      <c r="P22" s="24">
        <f>VLOOKUP(tblRiskRegister322[[#This Row],[Asset Class]],tblInherentImpacts3046[],3,FALSE)</f>
        <v>2</v>
      </c>
      <c r="Q22" s="24">
        <f>VLOOKUP(tblRiskRegister322[[#This Row],[Asset Class]],tblInherentImpacts3046[],4,FALSE)</f>
        <v>4</v>
      </c>
      <c r="R22" s="24">
        <f>VLOOKUP(tblRiskRegister322[[#This Row],[Asset Class]],tblInherentImpacts3046[],5,FALSE)</f>
        <v>5</v>
      </c>
      <c r="S22" s="24" t="str">
        <f>IFERROR(MAX(tblRiskRegister322[[#This Row],[Impact to Mission]:[Impact to Obligations]])*tblRiskRegister322[[#This Row],[Expectancy Score]],"")</f>
        <v/>
      </c>
      <c r="T22" s="24" t="str">
        <f>tblRiskRegister322[[#This Row],[Risk Score]]</f>
        <v/>
      </c>
      <c r="U22" s="13"/>
      <c r="V22" s="50">
        <v>7.3</v>
      </c>
      <c r="W22" s="15" t="s">
        <v>64</v>
      </c>
      <c r="X22" s="15" t="s">
        <v>332</v>
      </c>
      <c r="Y22" s="15"/>
      <c r="Z22" s="16"/>
      <c r="AA22" s="23" t="str">
        <f>IFERROR(VLOOKUP(10*tblRiskRegister322[[#This Row],[Risk Treatment Safeguard Maturity Score]]+tblRiskRegister322[[#This Row],[VCDB Index]],tblHITIndexWeightTable[],4,FALSE),"")</f>
        <v/>
      </c>
      <c r="AB22" s="65"/>
      <c r="AC22" s="65"/>
      <c r="AD22" s="65"/>
      <c r="AE22" s="65"/>
      <c r="AF22" s="23" t="str">
        <f>IFERROR(MAX(tblRiskRegister322[[#This Row],[Risk Treatment Safeguard Impact to Mission]:[Risk Treatment Safeguard Impact to Obligations]])*tblRiskRegister322[[#This Row],[Risk Treatment
Safeguard Expectancy Score]],"")</f>
        <v/>
      </c>
      <c r="AG22" s="23" t="str">
        <f>IF(tblRiskRegister322[[#This Row],[Risk Score]]&gt;AcceptableRisk1,IF(tblRiskRegister322[[#This Row],[Risk Treatment Safeguard Risk Score]]&lt;AcceptableRisk1, IF(tblRiskRegister322[[#This Row],[Risk Treatment Safeguard Risk Score]]&lt;=tblRiskRegister322[[#This Row],[Risk Score]],"Yes","No"),"No"),"Yes")</f>
        <v>No</v>
      </c>
      <c r="AH22" s="17"/>
      <c r="AI22" s="17"/>
      <c r="AJ22" s="18"/>
    </row>
    <row r="23" spans="2:40" ht="28">
      <c r="B23" s="15" t="s">
        <v>92</v>
      </c>
      <c r="C23" s="15"/>
      <c r="D23" s="13">
        <v>7.4</v>
      </c>
      <c r="E23" s="14" t="s">
        <v>65</v>
      </c>
      <c r="F23" s="13" t="s">
        <v>416</v>
      </c>
      <c r="G23" s="13" t="s">
        <v>416</v>
      </c>
      <c r="H23" s="13" t="s">
        <v>512</v>
      </c>
      <c r="I23" s="14"/>
      <c r="J23" s="14"/>
      <c r="K23" s="14"/>
      <c r="L23" s="16"/>
      <c r="M23" s="24">
        <f>IFERROR(VLOOKUP(tblRiskRegister322[[#This Row],[Asset Class]],tblVCDBIndex[],4,FALSE),"")</f>
        <v>2</v>
      </c>
      <c r="N23" s="24" t="str">
        <f>IFERROR(VLOOKUP(10*tblRiskRegister322[[#This Row],[Safeguard Maturity Score]]+tblRiskRegister322[[#This Row],[VCDB Index]],tblHITIndexWeightTable[],4,FALSE),"")</f>
        <v/>
      </c>
      <c r="O23" s="24">
        <f>VLOOKUP(tblRiskRegister322[[#This Row],[Asset Class]],tblInherentImpacts3046[],2,FALSE)</f>
        <v>4</v>
      </c>
      <c r="P23" s="24">
        <f>VLOOKUP(tblRiskRegister322[[#This Row],[Asset Class]],tblInherentImpacts3046[],3,FALSE)</f>
        <v>2</v>
      </c>
      <c r="Q23" s="24">
        <f>VLOOKUP(tblRiskRegister322[[#This Row],[Asset Class]],tblInherentImpacts3046[],4,FALSE)</f>
        <v>4</v>
      </c>
      <c r="R23" s="24">
        <f>VLOOKUP(tblRiskRegister322[[#This Row],[Asset Class]],tblInherentImpacts3046[],5,FALSE)</f>
        <v>5</v>
      </c>
      <c r="S23" s="24" t="str">
        <f>IFERROR(MAX(tblRiskRegister322[[#This Row],[Impact to Mission]:[Impact to Obligations]])*tblRiskRegister322[[#This Row],[Expectancy Score]],"")</f>
        <v/>
      </c>
      <c r="T23" s="24" t="str">
        <f>tblRiskRegister322[[#This Row],[Risk Score]]</f>
        <v/>
      </c>
      <c r="U23" s="13"/>
      <c r="V23" s="50">
        <v>7.4</v>
      </c>
      <c r="W23" s="15" t="s">
        <v>65</v>
      </c>
      <c r="X23" s="15" t="s">
        <v>333</v>
      </c>
      <c r="Y23" s="15"/>
      <c r="Z23" s="16"/>
      <c r="AA23" s="23" t="str">
        <f>IFERROR(VLOOKUP(10*tblRiskRegister322[[#This Row],[Risk Treatment Safeguard Maturity Score]]+tblRiskRegister322[[#This Row],[VCDB Index]],tblHITIndexWeightTable[],4,FALSE),"")</f>
        <v/>
      </c>
      <c r="AB23" s="65"/>
      <c r="AC23" s="65"/>
      <c r="AD23" s="65"/>
      <c r="AE23" s="65"/>
      <c r="AF23" s="23" t="str">
        <f>IFERROR(MAX(tblRiskRegister322[[#This Row],[Risk Treatment Safeguard Impact to Mission]:[Risk Treatment Safeguard Impact to Obligations]])*tblRiskRegister322[[#This Row],[Risk Treatment
Safeguard Expectancy Score]],"")</f>
        <v/>
      </c>
      <c r="AG23" s="23" t="str">
        <f>IF(tblRiskRegister322[[#This Row],[Risk Score]]&gt;AcceptableRisk1,IF(tblRiskRegister322[[#This Row],[Risk Treatment Safeguard Risk Score]]&lt;AcceptableRisk1, IF(tblRiskRegister322[[#This Row],[Risk Treatment Safeguard Risk Score]]&lt;=tblRiskRegister322[[#This Row],[Risk Score]],"Yes","No"),"No"),"Yes")</f>
        <v>No</v>
      </c>
      <c r="AH23" s="17"/>
      <c r="AI23" s="17"/>
      <c r="AJ23" s="18"/>
    </row>
    <row r="24" spans="2:40" ht="42">
      <c r="B24" s="15" t="s">
        <v>92</v>
      </c>
      <c r="C24" s="15"/>
      <c r="D24" s="13">
        <v>7.5</v>
      </c>
      <c r="E24" s="14" t="s">
        <v>163</v>
      </c>
      <c r="F24" s="13"/>
      <c r="G24" s="13" t="s">
        <v>416</v>
      </c>
      <c r="H24" s="13" t="s">
        <v>510</v>
      </c>
      <c r="I24" s="14"/>
      <c r="J24" s="14"/>
      <c r="K24" s="14"/>
      <c r="L24" s="16"/>
      <c r="M24" s="24">
        <f>IFERROR(VLOOKUP(tblRiskRegister322[[#This Row],[Asset Class]],tblVCDBIndex[],4,FALSE),"")</f>
        <v>2</v>
      </c>
      <c r="N24" s="24" t="str">
        <f>IFERROR(VLOOKUP(10*tblRiskRegister322[[#This Row],[Safeguard Maturity Score]]+tblRiskRegister322[[#This Row],[VCDB Index]],tblHITIndexWeightTable[],4,FALSE),"")</f>
        <v/>
      </c>
      <c r="O24" s="24">
        <f>VLOOKUP(tblRiskRegister322[[#This Row],[Asset Class]],tblInherentImpacts3046[],2,FALSE)</f>
        <v>4</v>
      </c>
      <c r="P24" s="24">
        <f>VLOOKUP(tblRiskRegister322[[#This Row],[Asset Class]],tblInherentImpacts3046[],3,FALSE)</f>
        <v>2</v>
      </c>
      <c r="Q24" s="24">
        <f>VLOOKUP(tblRiskRegister322[[#This Row],[Asset Class]],tblInherentImpacts3046[],4,FALSE)</f>
        <v>4</v>
      </c>
      <c r="R24" s="24">
        <f>VLOOKUP(tblRiskRegister322[[#This Row],[Asset Class]],tblInherentImpacts3046[],5,FALSE)</f>
        <v>5</v>
      </c>
      <c r="S24" s="24" t="str">
        <f>IFERROR(MAX(tblRiskRegister322[[#This Row],[Impact to Mission]:[Impact to Obligations]])*tblRiskRegister322[[#This Row],[Expectancy Score]],"")</f>
        <v/>
      </c>
      <c r="T24" s="24" t="str">
        <f>tblRiskRegister322[[#This Row],[Risk Score]]</f>
        <v/>
      </c>
      <c r="U24" s="13"/>
      <c r="V24" s="50">
        <v>7.5</v>
      </c>
      <c r="W24" s="15" t="s">
        <v>163</v>
      </c>
      <c r="X24" s="15" t="s">
        <v>334</v>
      </c>
      <c r="Y24" s="15"/>
      <c r="Z24" s="16"/>
      <c r="AA24" s="23" t="str">
        <f>IFERROR(VLOOKUP(10*tblRiskRegister322[[#This Row],[Risk Treatment Safeguard Maturity Score]]+tblRiskRegister322[[#This Row],[VCDB Index]],tblHITIndexWeightTable[],4,FALSE),"")</f>
        <v/>
      </c>
      <c r="AB24" s="65"/>
      <c r="AC24" s="65"/>
      <c r="AD24" s="65"/>
      <c r="AE24" s="65"/>
      <c r="AF24" s="23" t="str">
        <f>IFERROR(MAX(tblRiskRegister322[[#This Row],[Risk Treatment Safeguard Impact to Mission]:[Risk Treatment Safeguard Impact to Obligations]])*tblRiskRegister322[[#This Row],[Risk Treatment
Safeguard Expectancy Score]],"")</f>
        <v/>
      </c>
      <c r="AG24" s="23" t="str">
        <f>IF(tblRiskRegister322[[#This Row],[Risk Score]]&gt;AcceptableRisk1,IF(tblRiskRegister322[[#This Row],[Risk Treatment Safeguard Risk Score]]&lt;AcceptableRisk1, IF(tblRiskRegister322[[#This Row],[Risk Treatment Safeguard Risk Score]]&lt;=tblRiskRegister322[[#This Row],[Risk Score]],"Yes","No"),"No"),"Yes")</f>
        <v>No</v>
      </c>
      <c r="AH24" s="17"/>
      <c r="AI24" s="17"/>
      <c r="AJ24" s="18"/>
    </row>
    <row r="25" spans="2:40" ht="42">
      <c r="B25" s="15" t="s">
        <v>92</v>
      </c>
      <c r="C25" s="15"/>
      <c r="D25" s="13">
        <v>7.6</v>
      </c>
      <c r="E25" s="14" t="s">
        <v>164</v>
      </c>
      <c r="F25" s="13"/>
      <c r="G25" s="13" t="s">
        <v>416</v>
      </c>
      <c r="H25" s="13" t="s">
        <v>510</v>
      </c>
      <c r="I25" s="14"/>
      <c r="J25" s="14"/>
      <c r="K25" s="14"/>
      <c r="L25" s="16"/>
      <c r="M25" s="24">
        <f>IFERROR(VLOOKUP(tblRiskRegister322[[#This Row],[Asset Class]],tblVCDBIndex[],4,FALSE),"")</f>
        <v>2</v>
      </c>
      <c r="N25" s="24" t="str">
        <f>IFERROR(VLOOKUP(10*tblRiskRegister322[[#This Row],[Safeguard Maturity Score]]+tblRiskRegister322[[#This Row],[VCDB Index]],tblHITIndexWeightTable[],4,FALSE),"")</f>
        <v/>
      </c>
      <c r="O25" s="24">
        <f>VLOOKUP(tblRiskRegister322[[#This Row],[Asset Class]],tblInherentImpacts3046[],2,FALSE)</f>
        <v>4</v>
      </c>
      <c r="P25" s="24">
        <f>VLOOKUP(tblRiskRegister322[[#This Row],[Asset Class]],tblInherentImpacts3046[],3,FALSE)</f>
        <v>2</v>
      </c>
      <c r="Q25" s="24">
        <f>VLOOKUP(tblRiskRegister322[[#This Row],[Asset Class]],tblInherentImpacts3046[],4,FALSE)</f>
        <v>4</v>
      </c>
      <c r="R25" s="24">
        <f>VLOOKUP(tblRiskRegister322[[#This Row],[Asset Class]],tblInherentImpacts3046[],5,FALSE)</f>
        <v>5</v>
      </c>
      <c r="S25" s="24" t="str">
        <f>IFERROR(MAX(tblRiskRegister322[[#This Row],[Impact to Mission]:[Impact to Obligations]])*tblRiskRegister322[[#This Row],[Expectancy Score]],"")</f>
        <v/>
      </c>
      <c r="T25" s="24" t="str">
        <f>tblRiskRegister322[[#This Row],[Risk Score]]</f>
        <v/>
      </c>
      <c r="U25" s="13"/>
      <c r="V25" s="50">
        <v>7.6</v>
      </c>
      <c r="W25" s="15" t="s">
        <v>164</v>
      </c>
      <c r="X25" s="15" t="s">
        <v>335</v>
      </c>
      <c r="Y25" s="15"/>
      <c r="Z25" s="16"/>
      <c r="AA25" s="23" t="str">
        <f>IFERROR(VLOOKUP(10*tblRiskRegister322[[#This Row],[Risk Treatment Safeguard Maturity Score]]+tblRiskRegister322[[#This Row],[VCDB Index]],tblHITIndexWeightTable[],4,FALSE),"")</f>
        <v/>
      </c>
      <c r="AB25" s="65"/>
      <c r="AC25" s="65"/>
      <c r="AD25" s="65"/>
      <c r="AE25" s="65"/>
      <c r="AF25" s="23" t="str">
        <f>IFERROR(MAX(tblRiskRegister322[[#This Row],[Risk Treatment Safeguard Impact to Mission]:[Risk Treatment Safeguard Impact to Obligations]])*tblRiskRegister322[[#This Row],[Risk Treatment
Safeguard Expectancy Score]],"")</f>
        <v/>
      </c>
      <c r="AG25" s="23" t="str">
        <f>IF(tblRiskRegister322[[#This Row],[Risk Score]]&gt;AcceptableRisk1,IF(tblRiskRegister322[[#This Row],[Risk Treatment Safeguard Risk Score]]&lt;AcceptableRisk1, IF(tblRiskRegister322[[#This Row],[Risk Treatment Safeguard Risk Score]]&lt;=tblRiskRegister322[[#This Row],[Risk Score]],"Yes","No"),"No"),"Yes")</f>
        <v>No</v>
      </c>
      <c r="AH25" s="17"/>
      <c r="AI25" s="17"/>
      <c r="AJ25" s="18"/>
    </row>
    <row r="26" spans="2:40" ht="28">
      <c r="B26" s="15" t="s">
        <v>92</v>
      </c>
      <c r="C26" s="15"/>
      <c r="D26" s="13">
        <v>7.7</v>
      </c>
      <c r="E26" s="14" t="s">
        <v>165</v>
      </c>
      <c r="F26" s="13"/>
      <c r="G26" s="13" t="s">
        <v>416</v>
      </c>
      <c r="H26" s="13" t="s">
        <v>511</v>
      </c>
      <c r="I26" s="14"/>
      <c r="J26" s="14"/>
      <c r="K26" s="14"/>
      <c r="L26" s="16"/>
      <c r="M26" s="24">
        <f>IFERROR(VLOOKUP(tblRiskRegister322[[#This Row],[Asset Class]],tblVCDBIndex[],4,FALSE),"")</f>
        <v>2</v>
      </c>
      <c r="N26" s="24" t="str">
        <f>IFERROR(VLOOKUP(10*tblRiskRegister322[[#This Row],[Safeguard Maturity Score]]+tblRiskRegister322[[#This Row],[VCDB Index]],tblHITIndexWeightTable[],4,FALSE),"")</f>
        <v/>
      </c>
      <c r="O26" s="24">
        <f>VLOOKUP(tblRiskRegister322[[#This Row],[Asset Class]],tblInherentImpacts3046[],2,FALSE)</f>
        <v>4</v>
      </c>
      <c r="P26" s="24">
        <f>VLOOKUP(tblRiskRegister322[[#This Row],[Asset Class]],tblInherentImpacts3046[],3,FALSE)</f>
        <v>2</v>
      </c>
      <c r="Q26" s="24">
        <f>VLOOKUP(tblRiskRegister322[[#This Row],[Asset Class]],tblInherentImpacts3046[],4,FALSE)</f>
        <v>4</v>
      </c>
      <c r="R26" s="24">
        <f>VLOOKUP(tblRiskRegister322[[#This Row],[Asset Class]],tblInherentImpacts3046[],5,FALSE)</f>
        <v>5</v>
      </c>
      <c r="S26" s="24" t="str">
        <f>IFERROR(MAX(tblRiskRegister322[[#This Row],[Impact to Mission]:[Impact to Obligations]])*tblRiskRegister322[[#This Row],[Expectancy Score]],"")</f>
        <v/>
      </c>
      <c r="T26" s="24" t="str">
        <f>tblRiskRegister322[[#This Row],[Risk Score]]</f>
        <v/>
      </c>
      <c r="U26" s="13"/>
      <c r="V26" s="50">
        <v>7.7</v>
      </c>
      <c r="W26" s="15" t="s">
        <v>165</v>
      </c>
      <c r="X26" s="15" t="s">
        <v>336</v>
      </c>
      <c r="Y26" s="15"/>
      <c r="Z26" s="16"/>
      <c r="AA26" s="23" t="str">
        <f>IFERROR(VLOOKUP(10*tblRiskRegister322[[#This Row],[Risk Treatment Safeguard Maturity Score]]+tblRiskRegister322[[#This Row],[VCDB Index]],tblHITIndexWeightTable[],4,FALSE),"")</f>
        <v/>
      </c>
      <c r="AB26" s="65"/>
      <c r="AC26" s="65"/>
      <c r="AD26" s="65"/>
      <c r="AE26" s="65"/>
      <c r="AF26" s="23" t="str">
        <f>IFERROR(MAX(tblRiskRegister322[[#This Row],[Risk Treatment Safeguard Impact to Mission]:[Risk Treatment Safeguard Impact to Obligations]])*tblRiskRegister322[[#This Row],[Risk Treatment
Safeguard Expectancy Score]],"")</f>
        <v/>
      </c>
      <c r="AG26" s="23" t="str">
        <f>IF(tblRiskRegister322[[#This Row],[Risk Score]]&gt;AcceptableRisk1,IF(tblRiskRegister322[[#This Row],[Risk Treatment Safeguard Risk Score]]&lt;AcceptableRisk1, IF(tblRiskRegister322[[#This Row],[Risk Treatment Safeguard Risk Score]]&lt;=tblRiskRegister322[[#This Row],[Risk Score]],"Yes","No"),"No"),"Yes")</f>
        <v>No</v>
      </c>
      <c r="AH26" s="17"/>
      <c r="AI26" s="17"/>
      <c r="AJ26" s="18"/>
    </row>
    <row r="27" spans="2:40" ht="28">
      <c r="B27" s="15" t="s">
        <v>92</v>
      </c>
      <c r="C27" s="15"/>
      <c r="D27" s="13">
        <v>9.1</v>
      </c>
      <c r="E27" s="14" t="s">
        <v>15</v>
      </c>
      <c r="F27" s="13" t="s">
        <v>416</v>
      </c>
      <c r="G27" s="13" t="s">
        <v>416</v>
      </c>
      <c r="H27" s="13" t="s">
        <v>512</v>
      </c>
      <c r="I27" s="14"/>
      <c r="J27" s="14"/>
      <c r="K27" s="14"/>
      <c r="L27" s="16"/>
      <c r="M27" s="24">
        <f>IFERROR(VLOOKUP(tblRiskRegister322[[#This Row],[Asset Class]],tblVCDBIndex[],4,FALSE),"")</f>
        <v>2</v>
      </c>
      <c r="N27" s="24" t="str">
        <f>IFERROR(VLOOKUP(10*tblRiskRegister322[[#This Row],[Safeguard Maturity Score]]+tblRiskRegister322[[#This Row],[VCDB Index]],tblHITIndexWeightTable[],4,FALSE),"")</f>
        <v/>
      </c>
      <c r="O27" s="24">
        <f>VLOOKUP(tblRiskRegister322[[#This Row],[Asset Class]],tblInherentImpacts3046[],2,FALSE)</f>
        <v>4</v>
      </c>
      <c r="P27" s="24">
        <f>VLOOKUP(tblRiskRegister322[[#This Row],[Asset Class]],tblInherentImpacts3046[],3,FALSE)</f>
        <v>2</v>
      </c>
      <c r="Q27" s="24">
        <f>VLOOKUP(tblRiskRegister322[[#This Row],[Asset Class]],tblInherentImpacts3046[],4,FALSE)</f>
        <v>4</v>
      </c>
      <c r="R27" s="24">
        <f>VLOOKUP(tblRiskRegister322[[#This Row],[Asset Class]],tblInherentImpacts3046[],5,FALSE)</f>
        <v>5</v>
      </c>
      <c r="S27" s="24" t="str">
        <f>IFERROR(MAX(tblRiskRegister322[[#This Row],[Impact to Mission]:[Impact to Obligations]])*tblRiskRegister322[[#This Row],[Expectancy Score]],"")</f>
        <v/>
      </c>
      <c r="T27" s="24" t="str">
        <f>tblRiskRegister322[[#This Row],[Risk Score]]</f>
        <v/>
      </c>
      <c r="U27" s="13"/>
      <c r="V27" s="50">
        <v>9.1</v>
      </c>
      <c r="W27" s="15" t="s">
        <v>15</v>
      </c>
      <c r="X27" s="15" t="s">
        <v>348</v>
      </c>
      <c r="Y27" s="15"/>
      <c r="Z27" s="16"/>
      <c r="AA27" s="23" t="str">
        <f>IFERROR(VLOOKUP(10*tblRiskRegister322[[#This Row],[Risk Treatment Safeguard Maturity Score]]+tblRiskRegister322[[#This Row],[VCDB Index]],tblHITIndexWeightTable[],4,FALSE),"")</f>
        <v/>
      </c>
      <c r="AB27" s="65"/>
      <c r="AC27" s="65"/>
      <c r="AD27" s="65"/>
      <c r="AE27" s="65"/>
      <c r="AF27" s="23" t="str">
        <f>IFERROR(MAX(tblRiskRegister322[[#This Row],[Risk Treatment Safeguard Impact to Mission]:[Risk Treatment Safeguard Impact to Obligations]])*tblRiskRegister322[[#This Row],[Risk Treatment
Safeguard Expectancy Score]],"")</f>
        <v/>
      </c>
      <c r="AG27" s="23" t="str">
        <f>IF(tblRiskRegister322[[#This Row],[Risk Score]]&gt;AcceptableRisk1,IF(tblRiskRegister322[[#This Row],[Risk Treatment Safeguard Risk Score]]&lt;AcceptableRisk1, IF(tblRiskRegister322[[#This Row],[Risk Treatment Safeguard Risk Score]]&lt;=tblRiskRegister322[[#This Row],[Risk Score]],"Yes","No"),"No"),"Yes")</f>
        <v>No</v>
      </c>
      <c r="AH27" s="17"/>
      <c r="AI27" s="17"/>
      <c r="AJ27" s="18"/>
    </row>
    <row r="28" spans="2:40" ht="42">
      <c r="B28" s="15" t="s">
        <v>92</v>
      </c>
      <c r="C28" s="15"/>
      <c r="D28" s="13">
        <v>9.4</v>
      </c>
      <c r="E28" s="14" t="s">
        <v>166</v>
      </c>
      <c r="F28" s="13"/>
      <c r="G28" s="13" t="s">
        <v>416</v>
      </c>
      <c r="H28" s="13" t="s">
        <v>512</v>
      </c>
      <c r="I28" s="14"/>
      <c r="J28" s="14"/>
      <c r="K28" s="14"/>
      <c r="L28" s="16"/>
      <c r="M28" s="24">
        <f>IFERROR(VLOOKUP(tblRiskRegister322[[#This Row],[Asset Class]],tblVCDBIndex[],4,FALSE),"")</f>
        <v>2</v>
      </c>
      <c r="N28" s="24" t="str">
        <f>IFERROR(VLOOKUP(10*tblRiskRegister322[[#This Row],[Safeguard Maturity Score]]+tblRiskRegister322[[#This Row],[VCDB Index]],tblHITIndexWeightTable[],4,FALSE),"")</f>
        <v/>
      </c>
      <c r="O28" s="24">
        <f>VLOOKUP(tblRiskRegister322[[#This Row],[Asset Class]],tblInherentImpacts3046[],2,FALSE)</f>
        <v>4</v>
      </c>
      <c r="P28" s="24">
        <f>VLOOKUP(tblRiskRegister322[[#This Row],[Asset Class]],tblInherentImpacts3046[],3,FALSE)</f>
        <v>2</v>
      </c>
      <c r="Q28" s="24">
        <f>VLOOKUP(tblRiskRegister322[[#This Row],[Asset Class]],tblInherentImpacts3046[],4,FALSE)</f>
        <v>4</v>
      </c>
      <c r="R28" s="24">
        <f>VLOOKUP(tblRiskRegister322[[#This Row],[Asset Class]],tblInherentImpacts3046[],5,FALSE)</f>
        <v>5</v>
      </c>
      <c r="S28" s="24" t="str">
        <f>IFERROR(MAX(tblRiskRegister322[[#This Row],[Impact to Mission]:[Impact to Obligations]])*tblRiskRegister322[[#This Row],[Expectancy Score]],"")</f>
        <v/>
      </c>
      <c r="T28" s="24" t="str">
        <f>tblRiskRegister322[[#This Row],[Risk Score]]</f>
        <v/>
      </c>
      <c r="U28" s="13"/>
      <c r="V28" s="50">
        <v>9.4</v>
      </c>
      <c r="W28" s="15" t="s">
        <v>166</v>
      </c>
      <c r="X28" s="15" t="s">
        <v>351</v>
      </c>
      <c r="Y28" s="15"/>
      <c r="Z28" s="16"/>
      <c r="AA28" s="23" t="str">
        <f>IFERROR(VLOOKUP(10*tblRiskRegister322[[#This Row],[Risk Treatment Safeguard Maturity Score]]+tblRiskRegister322[[#This Row],[VCDB Index]],tblHITIndexWeightTable[],4,FALSE),"")</f>
        <v/>
      </c>
      <c r="AB28" s="65"/>
      <c r="AC28" s="65"/>
      <c r="AD28" s="65"/>
      <c r="AE28" s="65"/>
      <c r="AF28" s="23" t="str">
        <f>IFERROR(MAX(tblRiskRegister322[[#This Row],[Risk Treatment Safeguard Impact to Mission]:[Risk Treatment Safeguard Impact to Obligations]])*tblRiskRegister322[[#This Row],[Risk Treatment
Safeguard Expectancy Score]],"")</f>
        <v/>
      </c>
      <c r="AG28" s="23" t="str">
        <f>IF(tblRiskRegister322[[#This Row],[Risk Score]]&gt;AcceptableRisk1,IF(tblRiskRegister322[[#This Row],[Risk Treatment Safeguard Risk Score]]&lt;AcceptableRisk1, IF(tblRiskRegister322[[#This Row],[Risk Treatment Safeguard Risk Score]]&lt;=tblRiskRegister322[[#This Row],[Risk Score]],"Yes","No"),"No"),"Yes")</f>
        <v>No</v>
      </c>
      <c r="AH28" s="17"/>
      <c r="AI28" s="17"/>
      <c r="AJ28" s="18"/>
    </row>
    <row r="29" spans="2:40" ht="70">
      <c r="B29" s="15" t="s">
        <v>92</v>
      </c>
      <c r="C29" s="15"/>
      <c r="D29" s="13">
        <v>16.100000000000001</v>
      </c>
      <c r="E29" s="14" t="s">
        <v>167</v>
      </c>
      <c r="F29" s="13"/>
      <c r="G29" s="13" t="s">
        <v>416</v>
      </c>
      <c r="H29" s="13" t="s">
        <v>512</v>
      </c>
      <c r="I29" s="14"/>
      <c r="J29" s="14"/>
      <c r="K29" s="14"/>
      <c r="L29" s="16"/>
      <c r="M29" s="24">
        <f>IFERROR(VLOOKUP(tblRiskRegister322[[#This Row],[Asset Class]],tblVCDBIndex[],4,FALSE),"")</f>
        <v>2</v>
      </c>
      <c r="N29" s="24" t="str">
        <f>IFERROR(VLOOKUP(10*tblRiskRegister322[[#This Row],[Safeguard Maturity Score]]+tblRiskRegister322[[#This Row],[VCDB Index]],tblHITIndexWeightTable[],4,FALSE),"")</f>
        <v/>
      </c>
      <c r="O29" s="24">
        <f>VLOOKUP(tblRiskRegister322[[#This Row],[Asset Class]],tblInherentImpacts3046[],2,FALSE)</f>
        <v>4</v>
      </c>
      <c r="P29" s="24">
        <f>VLOOKUP(tblRiskRegister322[[#This Row],[Asset Class]],tblInherentImpacts3046[],3,FALSE)</f>
        <v>2</v>
      </c>
      <c r="Q29" s="24">
        <f>VLOOKUP(tblRiskRegister322[[#This Row],[Asset Class]],tblInherentImpacts3046[],4,FALSE)</f>
        <v>4</v>
      </c>
      <c r="R29" s="24">
        <f>VLOOKUP(tblRiskRegister322[[#This Row],[Asset Class]],tblInherentImpacts3046[],5,FALSE)</f>
        <v>5</v>
      </c>
      <c r="S29" s="24" t="str">
        <f>IFERROR(MAX(tblRiskRegister322[[#This Row],[Impact to Mission]:[Impact to Obligations]])*tblRiskRegister322[[#This Row],[Expectancy Score]],"")</f>
        <v/>
      </c>
      <c r="T29" s="24" t="str">
        <f>tblRiskRegister322[[#This Row],[Risk Score]]</f>
        <v/>
      </c>
      <c r="U29" s="13"/>
      <c r="V29" s="50">
        <v>16.100000000000001</v>
      </c>
      <c r="W29" s="15" t="s">
        <v>167</v>
      </c>
      <c r="X29" s="15" t="s">
        <v>392</v>
      </c>
      <c r="Y29" s="15"/>
      <c r="Z29" s="16"/>
      <c r="AA29" s="23" t="str">
        <f>IFERROR(VLOOKUP(10*tblRiskRegister322[[#This Row],[Risk Treatment Safeguard Maturity Score]]+tblRiskRegister322[[#This Row],[VCDB Index]],tblHITIndexWeightTable[],4,FALSE),"")</f>
        <v/>
      </c>
      <c r="AB29" s="65"/>
      <c r="AC29" s="65"/>
      <c r="AD29" s="65"/>
      <c r="AE29" s="65"/>
      <c r="AF29" s="23" t="str">
        <f>IFERROR(MAX(tblRiskRegister322[[#This Row],[Risk Treatment Safeguard Impact to Mission]:[Risk Treatment Safeguard Impact to Obligations]])*tblRiskRegister322[[#This Row],[Risk Treatment
Safeguard Expectancy Score]],"")</f>
        <v/>
      </c>
      <c r="AG29" s="23" t="str">
        <f>IF(tblRiskRegister322[[#This Row],[Risk Score]]&gt;AcceptableRisk1,IF(tblRiskRegister322[[#This Row],[Risk Treatment Safeguard Risk Score]]&lt;AcceptableRisk1, IF(tblRiskRegister322[[#This Row],[Risk Treatment Safeguard Risk Score]]&lt;=tblRiskRegister322[[#This Row],[Risk Score]],"Yes","No"),"No"),"Yes")</f>
        <v>No</v>
      </c>
      <c r="AH29" s="17"/>
      <c r="AI29" s="17"/>
      <c r="AJ29" s="18"/>
    </row>
    <row r="30" spans="2:40" ht="154">
      <c r="B30" s="15" t="s">
        <v>92</v>
      </c>
      <c r="C30" s="15"/>
      <c r="D30" s="13">
        <v>16.2</v>
      </c>
      <c r="E30" s="14" t="s">
        <v>168</v>
      </c>
      <c r="F30" s="13"/>
      <c r="G30" s="13" t="s">
        <v>416</v>
      </c>
      <c r="H30" s="13" t="s">
        <v>512</v>
      </c>
      <c r="I30" s="14"/>
      <c r="J30" s="14"/>
      <c r="K30" s="14"/>
      <c r="L30" s="16"/>
      <c r="M30" s="24">
        <f>IFERROR(VLOOKUP(tblRiskRegister322[[#This Row],[Asset Class]],tblVCDBIndex[],4,FALSE),"")</f>
        <v>2</v>
      </c>
      <c r="N30" s="24" t="str">
        <f>IFERROR(VLOOKUP(10*tblRiskRegister322[[#This Row],[Safeguard Maturity Score]]+tblRiskRegister322[[#This Row],[VCDB Index]],tblHITIndexWeightTable[],4,FALSE),"")</f>
        <v/>
      </c>
      <c r="O30" s="24">
        <f>VLOOKUP(tblRiskRegister322[[#This Row],[Asset Class]],tblInherentImpacts3046[],2,FALSE)</f>
        <v>4</v>
      </c>
      <c r="P30" s="24">
        <f>VLOOKUP(tblRiskRegister322[[#This Row],[Asset Class]],tblInherentImpacts3046[],3,FALSE)</f>
        <v>2</v>
      </c>
      <c r="Q30" s="24">
        <f>VLOOKUP(tblRiskRegister322[[#This Row],[Asset Class]],tblInherentImpacts3046[],4,FALSE)</f>
        <v>4</v>
      </c>
      <c r="R30" s="24">
        <f>VLOOKUP(tblRiskRegister322[[#This Row],[Asset Class]],tblInherentImpacts3046[],5,FALSE)</f>
        <v>5</v>
      </c>
      <c r="S30" s="24" t="str">
        <f>IFERROR(MAX(tblRiskRegister322[[#This Row],[Impact to Mission]:[Impact to Obligations]])*tblRiskRegister322[[#This Row],[Expectancy Score]],"")</f>
        <v/>
      </c>
      <c r="T30" s="24" t="str">
        <f>tblRiskRegister322[[#This Row],[Risk Score]]</f>
        <v/>
      </c>
      <c r="U30" s="13"/>
      <c r="V30" s="50">
        <v>16.2</v>
      </c>
      <c r="W30" s="15" t="s">
        <v>168</v>
      </c>
      <c r="X30" s="15" t="s">
        <v>393</v>
      </c>
      <c r="Y30" s="15"/>
      <c r="Z30" s="16"/>
      <c r="AA30" s="23" t="str">
        <f>IFERROR(VLOOKUP(10*tblRiskRegister322[[#This Row],[Risk Treatment Safeguard Maturity Score]]+tblRiskRegister322[[#This Row],[VCDB Index]],tblHITIndexWeightTable[],4,FALSE),"")</f>
        <v/>
      </c>
      <c r="AB30" s="65"/>
      <c r="AC30" s="65"/>
      <c r="AD30" s="65"/>
      <c r="AE30" s="65"/>
      <c r="AF30" s="23" t="str">
        <f>IFERROR(MAX(tblRiskRegister322[[#This Row],[Risk Treatment Safeguard Impact to Mission]:[Risk Treatment Safeguard Impact to Obligations]])*tblRiskRegister322[[#This Row],[Risk Treatment
Safeguard Expectancy Score]],"")</f>
        <v/>
      </c>
      <c r="AG30" s="23" t="str">
        <f>IF(tblRiskRegister322[[#This Row],[Risk Score]]&gt;AcceptableRisk1,IF(tblRiskRegister322[[#This Row],[Risk Treatment Safeguard Risk Score]]&lt;AcceptableRisk1, IF(tblRiskRegister322[[#This Row],[Risk Treatment Safeguard Risk Score]]&lt;=tblRiskRegister322[[#This Row],[Risk Score]],"Yes","No"),"No"),"Yes")</f>
        <v>No</v>
      </c>
      <c r="AH30" s="17"/>
      <c r="AI30" s="17"/>
      <c r="AJ30" s="18"/>
    </row>
    <row r="31" spans="2:40" ht="42">
      <c r="B31" s="15" t="s">
        <v>92</v>
      </c>
      <c r="C31" s="15"/>
      <c r="D31" s="13">
        <v>16.3</v>
      </c>
      <c r="E31" s="14" t="s">
        <v>169</v>
      </c>
      <c r="F31" s="13"/>
      <c r="G31" s="13" t="s">
        <v>416</v>
      </c>
      <c r="H31" s="13" t="s">
        <v>512</v>
      </c>
      <c r="I31" s="14"/>
      <c r="J31" s="14"/>
      <c r="K31" s="14"/>
      <c r="L31" s="16"/>
      <c r="M31" s="24">
        <f>IFERROR(VLOOKUP(tblRiskRegister322[[#This Row],[Asset Class]],tblVCDBIndex[],4,FALSE),"")</f>
        <v>2</v>
      </c>
      <c r="N31" s="24" t="str">
        <f>IFERROR(VLOOKUP(10*tblRiskRegister322[[#This Row],[Safeguard Maturity Score]]+tblRiskRegister322[[#This Row],[VCDB Index]],tblHITIndexWeightTable[],4,FALSE),"")</f>
        <v/>
      </c>
      <c r="O31" s="24">
        <f>VLOOKUP(tblRiskRegister322[[#This Row],[Asset Class]],tblInherentImpacts3046[],2,FALSE)</f>
        <v>4</v>
      </c>
      <c r="P31" s="24">
        <f>VLOOKUP(tblRiskRegister322[[#This Row],[Asset Class]],tblInherentImpacts3046[],3,FALSE)</f>
        <v>2</v>
      </c>
      <c r="Q31" s="24">
        <f>VLOOKUP(tblRiskRegister322[[#This Row],[Asset Class]],tblInherentImpacts3046[],4,FALSE)</f>
        <v>4</v>
      </c>
      <c r="R31" s="24">
        <f>VLOOKUP(tblRiskRegister322[[#This Row],[Asset Class]],tblInherentImpacts3046[],5,FALSE)</f>
        <v>5</v>
      </c>
      <c r="S31" s="24" t="str">
        <f>IFERROR(MAX(tblRiskRegister322[[#This Row],[Impact to Mission]:[Impact to Obligations]])*tblRiskRegister322[[#This Row],[Expectancy Score]],"")</f>
        <v/>
      </c>
      <c r="T31" s="24" t="str">
        <f>tblRiskRegister322[[#This Row],[Risk Score]]</f>
        <v/>
      </c>
      <c r="U31" s="13"/>
      <c r="V31" s="50">
        <v>16.3</v>
      </c>
      <c r="W31" s="15" t="s">
        <v>169</v>
      </c>
      <c r="X31" s="15" t="s">
        <v>394</v>
      </c>
      <c r="Y31" s="15"/>
      <c r="Z31" s="16"/>
      <c r="AA31" s="23" t="str">
        <f>IFERROR(VLOOKUP(10*tblRiskRegister322[[#This Row],[Risk Treatment Safeguard Maturity Score]]+tblRiskRegister322[[#This Row],[VCDB Index]],tblHITIndexWeightTable[],4,FALSE),"")</f>
        <v/>
      </c>
      <c r="AB31" s="65"/>
      <c r="AC31" s="65"/>
      <c r="AD31" s="65"/>
      <c r="AE31" s="65"/>
      <c r="AF31" s="23" t="str">
        <f>IFERROR(MAX(tblRiskRegister322[[#This Row],[Risk Treatment Safeguard Impact to Mission]:[Risk Treatment Safeguard Impact to Obligations]])*tblRiskRegister322[[#This Row],[Risk Treatment
Safeguard Expectancy Score]],"")</f>
        <v/>
      </c>
      <c r="AG31" s="23" t="str">
        <f>IF(tblRiskRegister322[[#This Row],[Risk Score]]&gt;AcceptableRisk1,IF(tblRiskRegister322[[#This Row],[Risk Treatment Safeguard Risk Score]]&lt;AcceptableRisk1, IF(tblRiskRegister322[[#This Row],[Risk Treatment Safeguard Risk Score]]&lt;=tblRiskRegister322[[#This Row],[Risk Score]],"Yes","No"),"No"),"Yes")</f>
        <v>No</v>
      </c>
      <c r="AH31" s="17"/>
      <c r="AI31" s="17"/>
      <c r="AJ31" s="18"/>
    </row>
    <row r="32" spans="2:40" ht="70">
      <c r="B32" s="15" t="s">
        <v>92</v>
      </c>
      <c r="C32" s="15"/>
      <c r="D32" s="13">
        <v>16.399999999999999</v>
      </c>
      <c r="E32" s="14" t="s">
        <v>233</v>
      </c>
      <c r="F32" s="13"/>
      <c r="G32" s="13" t="s">
        <v>416</v>
      </c>
      <c r="H32" s="13" t="s">
        <v>512</v>
      </c>
      <c r="I32" s="14"/>
      <c r="J32" s="14"/>
      <c r="K32" s="14"/>
      <c r="L32" s="16"/>
      <c r="M32" s="24">
        <f>IFERROR(VLOOKUP(tblRiskRegister322[[#This Row],[Asset Class]],tblVCDBIndex[],4,FALSE),"")</f>
        <v>2</v>
      </c>
      <c r="N32" s="24" t="str">
        <f>IFERROR(VLOOKUP(10*tblRiskRegister322[[#This Row],[Safeguard Maturity Score]]+tblRiskRegister322[[#This Row],[VCDB Index]],tblHITIndexWeightTable[],4,FALSE),"")</f>
        <v/>
      </c>
      <c r="O32" s="24">
        <f>VLOOKUP(tblRiskRegister322[[#This Row],[Asset Class]],tblInherentImpacts3046[],2,FALSE)</f>
        <v>4</v>
      </c>
      <c r="P32" s="24">
        <f>VLOOKUP(tblRiskRegister322[[#This Row],[Asset Class]],tblInherentImpacts3046[],3,FALSE)</f>
        <v>2</v>
      </c>
      <c r="Q32" s="24">
        <f>VLOOKUP(tblRiskRegister322[[#This Row],[Asset Class]],tblInherentImpacts3046[],4,FALSE)</f>
        <v>4</v>
      </c>
      <c r="R32" s="24">
        <f>VLOOKUP(tblRiskRegister322[[#This Row],[Asset Class]],tblInherentImpacts3046[],5,FALSE)</f>
        <v>5</v>
      </c>
      <c r="S32" s="24" t="str">
        <f>IFERROR(MAX(tblRiskRegister322[[#This Row],[Impact to Mission]:[Impact to Obligations]])*tblRiskRegister322[[#This Row],[Expectancy Score]],"")</f>
        <v/>
      </c>
      <c r="T32" s="24" t="str">
        <f>tblRiskRegister322[[#This Row],[Risk Score]]</f>
        <v/>
      </c>
      <c r="U32" s="13"/>
      <c r="V32" s="50">
        <v>16.399999999999999</v>
      </c>
      <c r="W32" s="15" t="s">
        <v>233</v>
      </c>
      <c r="X32" s="15" t="s">
        <v>395</v>
      </c>
      <c r="Y32" s="15"/>
      <c r="Z32" s="16"/>
      <c r="AA32" s="23" t="str">
        <f>IFERROR(VLOOKUP(10*tblRiskRegister322[[#This Row],[Risk Treatment Safeguard Maturity Score]]+tblRiskRegister322[[#This Row],[VCDB Index]],tblHITIndexWeightTable[],4,FALSE),"")</f>
        <v/>
      </c>
      <c r="AB32" s="65"/>
      <c r="AC32" s="65"/>
      <c r="AD32" s="65"/>
      <c r="AE32" s="65"/>
      <c r="AF32" s="23" t="str">
        <f>IFERROR(MAX(tblRiskRegister322[[#This Row],[Risk Treatment Safeguard Impact to Mission]:[Risk Treatment Safeguard Impact to Obligations]])*tblRiskRegister322[[#This Row],[Risk Treatment
Safeguard Expectancy Score]],"")</f>
        <v/>
      </c>
      <c r="AG32" s="23" t="str">
        <f>IF(tblRiskRegister322[[#This Row],[Risk Score]]&gt;AcceptableRisk1,IF(tblRiskRegister322[[#This Row],[Risk Treatment Safeguard Risk Score]]&lt;AcceptableRisk1, IF(tblRiskRegister322[[#This Row],[Risk Treatment Safeguard Risk Score]]&lt;=tblRiskRegister322[[#This Row],[Risk Score]],"Yes","No"),"No"),"Yes")</f>
        <v>No</v>
      </c>
      <c r="AH32" s="17"/>
      <c r="AI32" s="17"/>
      <c r="AJ32" s="18"/>
    </row>
    <row r="33" spans="2:36" ht="42">
      <c r="B33" s="15" t="s">
        <v>92</v>
      </c>
      <c r="C33" s="15"/>
      <c r="D33" s="13">
        <v>16.5</v>
      </c>
      <c r="E33" s="14" t="s">
        <v>170</v>
      </c>
      <c r="F33" s="13"/>
      <c r="G33" s="13" t="s">
        <v>416</v>
      </c>
      <c r="H33" s="13" t="s">
        <v>512</v>
      </c>
      <c r="I33" s="14"/>
      <c r="J33" s="14"/>
      <c r="K33" s="14"/>
      <c r="L33" s="16"/>
      <c r="M33" s="24">
        <f>IFERROR(VLOOKUP(tblRiskRegister322[[#This Row],[Asset Class]],tblVCDBIndex[],4,FALSE),"")</f>
        <v>2</v>
      </c>
      <c r="N33" s="24" t="str">
        <f>IFERROR(VLOOKUP(10*tblRiskRegister322[[#This Row],[Safeguard Maturity Score]]+tblRiskRegister322[[#This Row],[VCDB Index]],tblHITIndexWeightTable[],4,FALSE),"")</f>
        <v/>
      </c>
      <c r="O33" s="24">
        <f>VLOOKUP(tblRiskRegister322[[#This Row],[Asset Class]],tblInherentImpacts3046[],2,FALSE)</f>
        <v>4</v>
      </c>
      <c r="P33" s="24">
        <f>VLOOKUP(tblRiskRegister322[[#This Row],[Asset Class]],tblInherentImpacts3046[],3,FALSE)</f>
        <v>2</v>
      </c>
      <c r="Q33" s="24">
        <f>VLOOKUP(tblRiskRegister322[[#This Row],[Asset Class]],tblInherentImpacts3046[],4,FALSE)</f>
        <v>4</v>
      </c>
      <c r="R33" s="24">
        <f>VLOOKUP(tblRiskRegister322[[#This Row],[Asset Class]],tblInherentImpacts3046[],5,FALSE)</f>
        <v>5</v>
      </c>
      <c r="S33" s="24" t="str">
        <f>IFERROR(MAX(tblRiskRegister322[[#This Row],[Impact to Mission]:[Impact to Obligations]])*tblRiskRegister322[[#This Row],[Expectancy Score]],"")</f>
        <v/>
      </c>
      <c r="T33" s="24" t="str">
        <f>tblRiskRegister322[[#This Row],[Risk Score]]</f>
        <v/>
      </c>
      <c r="U33" s="13"/>
      <c r="V33" s="50">
        <v>16.5</v>
      </c>
      <c r="W33" s="15" t="s">
        <v>170</v>
      </c>
      <c r="X33" s="15" t="s">
        <v>396</v>
      </c>
      <c r="Y33" s="15"/>
      <c r="Z33" s="16"/>
      <c r="AA33" s="23" t="str">
        <f>IFERROR(VLOOKUP(10*tblRiskRegister322[[#This Row],[Risk Treatment Safeguard Maturity Score]]+tblRiskRegister322[[#This Row],[VCDB Index]],tblHITIndexWeightTable[],4,FALSE),"")</f>
        <v/>
      </c>
      <c r="AB33" s="65"/>
      <c r="AC33" s="65"/>
      <c r="AD33" s="65"/>
      <c r="AE33" s="65"/>
      <c r="AF33" s="23" t="str">
        <f>IFERROR(MAX(tblRiskRegister322[[#This Row],[Risk Treatment Safeguard Impact to Mission]:[Risk Treatment Safeguard Impact to Obligations]])*tblRiskRegister322[[#This Row],[Risk Treatment
Safeguard Expectancy Score]],"")</f>
        <v/>
      </c>
      <c r="AG33" s="23" t="str">
        <f>IF(tblRiskRegister322[[#This Row],[Risk Score]]&gt;AcceptableRisk1,IF(tblRiskRegister322[[#This Row],[Risk Treatment Safeguard Risk Score]]&lt;AcceptableRisk1, IF(tblRiskRegister322[[#This Row],[Risk Treatment Safeguard Risk Score]]&lt;=tblRiskRegister322[[#This Row],[Risk Score]],"Yes","No"),"No"),"Yes")</f>
        <v>No</v>
      </c>
      <c r="AH33" s="17"/>
      <c r="AI33" s="17"/>
      <c r="AJ33" s="18"/>
    </row>
    <row r="34" spans="2:36" ht="84">
      <c r="B34" s="15" t="s">
        <v>92</v>
      </c>
      <c r="C34" s="15"/>
      <c r="D34" s="13">
        <v>16.600000000000001</v>
      </c>
      <c r="E34" s="14" t="s">
        <v>171</v>
      </c>
      <c r="F34" s="13"/>
      <c r="G34" s="13" t="s">
        <v>416</v>
      </c>
      <c r="H34" s="13" t="s">
        <v>512</v>
      </c>
      <c r="I34" s="14"/>
      <c r="J34" s="14"/>
      <c r="K34" s="14"/>
      <c r="L34" s="16"/>
      <c r="M34" s="24">
        <f>IFERROR(VLOOKUP(tblRiskRegister322[[#This Row],[Asset Class]],tblVCDBIndex[],4,FALSE),"")</f>
        <v>2</v>
      </c>
      <c r="N34" s="24" t="str">
        <f>IFERROR(VLOOKUP(10*tblRiskRegister322[[#This Row],[Safeguard Maturity Score]]+tblRiskRegister322[[#This Row],[VCDB Index]],tblHITIndexWeightTable[],4,FALSE),"")</f>
        <v/>
      </c>
      <c r="O34" s="24">
        <f>VLOOKUP(tblRiskRegister322[[#This Row],[Asset Class]],tblInherentImpacts3046[],2,FALSE)</f>
        <v>4</v>
      </c>
      <c r="P34" s="24">
        <f>VLOOKUP(tblRiskRegister322[[#This Row],[Asset Class]],tblInherentImpacts3046[],3,FALSE)</f>
        <v>2</v>
      </c>
      <c r="Q34" s="24">
        <f>VLOOKUP(tblRiskRegister322[[#This Row],[Asset Class]],tblInherentImpacts3046[],4,FALSE)</f>
        <v>4</v>
      </c>
      <c r="R34" s="24">
        <f>VLOOKUP(tblRiskRegister322[[#This Row],[Asset Class]],tblInherentImpacts3046[],5,FALSE)</f>
        <v>5</v>
      </c>
      <c r="S34" s="24" t="str">
        <f>IFERROR(MAX(tblRiskRegister322[[#This Row],[Impact to Mission]:[Impact to Obligations]])*tblRiskRegister322[[#This Row],[Expectancy Score]],"")</f>
        <v/>
      </c>
      <c r="T34" s="24" t="str">
        <f>tblRiskRegister322[[#This Row],[Risk Score]]</f>
        <v/>
      </c>
      <c r="U34" s="13"/>
      <c r="V34" s="50">
        <v>16.600000000000001</v>
      </c>
      <c r="W34" s="15" t="s">
        <v>171</v>
      </c>
      <c r="X34" s="15" t="s">
        <v>397</v>
      </c>
      <c r="Y34" s="15"/>
      <c r="Z34" s="16"/>
      <c r="AA34" s="23" t="str">
        <f>IFERROR(VLOOKUP(10*tblRiskRegister322[[#This Row],[Risk Treatment Safeguard Maturity Score]]+tblRiskRegister322[[#This Row],[VCDB Index]],tblHITIndexWeightTable[],4,FALSE),"")</f>
        <v/>
      </c>
      <c r="AB34" s="65"/>
      <c r="AC34" s="65"/>
      <c r="AD34" s="65"/>
      <c r="AE34" s="65"/>
      <c r="AF34" s="23" t="str">
        <f>IFERROR(MAX(tblRiskRegister322[[#This Row],[Risk Treatment Safeguard Impact to Mission]:[Risk Treatment Safeguard Impact to Obligations]])*tblRiskRegister322[[#This Row],[Risk Treatment
Safeguard Expectancy Score]],"")</f>
        <v/>
      </c>
      <c r="AG34" s="23" t="str">
        <f>IF(tblRiskRegister322[[#This Row],[Risk Score]]&gt;AcceptableRisk1,IF(tblRiskRegister322[[#This Row],[Risk Treatment Safeguard Risk Score]]&lt;AcceptableRisk1, IF(tblRiskRegister322[[#This Row],[Risk Treatment Safeguard Risk Score]]&lt;=tblRiskRegister322[[#This Row],[Risk Score]],"Yes","No"),"No"),"Yes")</f>
        <v>No</v>
      </c>
      <c r="AH34" s="17"/>
      <c r="AI34" s="17"/>
      <c r="AJ34" s="18"/>
    </row>
    <row r="35" spans="2:36" ht="56">
      <c r="B35" s="15" t="s">
        <v>92</v>
      </c>
      <c r="C35" s="15"/>
      <c r="D35" s="13">
        <v>16.7</v>
      </c>
      <c r="E35" s="14" t="s">
        <v>172</v>
      </c>
      <c r="F35" s="13"/>
      <c r="G35" s="13" t="s">
        <v>416</v>
      </c>
      <c r="H35" s="13" t="s">
        <v>512</v>
      </c>
      <c r="I35" s="14"/>
      <c r="J35" s="14"/>
      <c r="K35" s="14"/>
      <c r="L35" s="16"/>
      <c r="M35" s="24">
        <f>IFERROR(VLOOKUP(tblRiskRegister322[[#This Row],[Asset Class]],tblVCDBIndex[],4,FALSE),"")</f>
        <v>2</v>
      </c>
      <c r="N35" s="24" t="str">
        <f>IFERROR(VLOOKUP(10*tblRiskRegister322[[#This Row],[Safeguard Maturity Score]]+tblRiskRegister322[[#This Row],[VCDB Index]],tblHITIndexWeightTable[],4,FALSE),"")</f>
        <v/>
      </c>
      <c r="O35" s="24">
        <f>VLOOKUP(tblRiskRegister322[[#This Row],[Asset Class]],tblInherentImpacts3046[],2,FALSE)</f>
        <v>4</v>
      </c>
      <c r="P35" s="24">
        <f>VLOOKUP(tblRiskRegister322[[#This Row],[Asset Class]],tblInherentImpacts3046[],3,FALSE)</f>
        <v>2</v>
      </c>
      <c r="Q35" s="24">
        <f>VLOOKUP(tblRiskRegister322[[#This Row],[Asset Class]],tblInherentImpacts3046[],4,FALSE)</f>
        <v>4</v>
      </c>
      <c r="R35" s="24">
        <f>VLOOKUP(tblRiskRegister322[[#This Row],[Asset Class]],tblInherentImpacts3046[],5,FALSE)</f>
        <v>5</v>
      </c>
      <c r="S35" s="24" t="str">
        <f>IFERROR(MAX(tblRiskRegister322[[#This Row],[Impact to Mission]:[Impact to Obligations]])*tblRiskRegister322[[#This Row],[Expectancy Score]],"")</f>
        <v/>
      </c>
      <c r="T35" s="24" t="str">
        <f>tblRiskRegister322[[#This Row],[Risk Score]]</f>
        <v/>
      </c>
      <c r="U35" s="13"/>
      <c r="V35" s="50">
        <v>16.7</v>
      </c>
      <c r="W35" s="15" t="s">
        <v>172</v>
      </c>
      <c r="X35" s="15" t="s">
        <v>398</v>
      </c>
      <c r="Y35" s="15"/>
      <c r="Z35" s="16"/>
      <c r="AA35" s="23" t="str">
        <f>IFERROR(VLOOKUP(10*tblRiskRegister322[[#This Row],[Risk Treatment Safeguard Maturity Score]]+tblRiskRegister322[[#This Row],[VCDB Index]],tblHITIndexWeightTable[],4,FALSE),"")</f>
        <v/>
      </c>
      <c r="AB35" s="65"/>
      <c r="AC35" s="65"/>
      <c r="AD35" s="65"/>
      <c r="AE35" s="65"/>
      <c r="AF35" s="23" t="str">
        <f>IFERROR(MAX(tblRiskRegister322[[#This Row],[Risk Treatment Safeguard Impact to Mission]:[Risk Treatment Safeguard Impact to Obligations]])*tblRiskRegister322[[#This Row],[Risk Treatment
Safeguard Expectancy Score]],"")</f>
        <v/>
      </c>
      <c r="AG35" s="23" t="str">
        <f>IF(tblRiskRegister322[[#This Row],[Risk Score]]&gt;AcceptableRisk1,IF(tblRiskRegister322[[#This Row],[Risk Treatment Safeguard Risk Score]]&lt;AcceptableRisk1, IF(tblRiskRegister322[[#This Row],[Risk Treatment Safeguard Risk Score]]&lt;=tblRiskRegister322[[#This Row],[Risk Score]],"Yes","No"),"No"),"Yes")</f>
        <v>No</v>
      </c>
      <c r="AH35" s="17"/>
      <c r="AI35" s="17"/>
      <c r="AJ35" s="18"/>
    </row>
    <row r="36" spans="2:36" ht="28">
      <c r="B36" s="15" t="s">
        <v>92</v>
      </c>
      <c r="C36" s="15"/>
      <c r="D36" s="13">
        <v>16.8</v>
      </c>
      <c r="E36" s="14" t="s">
        <v>173</v>
      </c>
      <c r="F36" s="13"/>
      <c r="G36" s="13" t="s">
        <v>416</v>
      </c>
      <c r="H36" s="13" t="s">
        <v>512</v>
      </c>
      <c r="I36" s="14"/>
      <c r="J36" s="14"/>
      <c r="K36" s="14"/>
      <c r="L36" s="16"/>
      <c r="M36" s="24">
        <f>IFERROR(VLOOKUP(tblRiskRegister322[[#This Row],[Asset Class]],tblVCDBIndex[],4,FALSE),"")</f>
        <v>2</v>
      </c>
      <c r="N36" s="24" t="str">
        <f>IFERROR(VLOOKUP(10*tblRiskRegister322[[#This Row],[Safeguard Maturity Score]]+tblRiskRegister322[[#This Row],[VCDB Index]],tblHITIndexWeightTable[],4,FALSE),"")</f>
        <v/>
      </c>
      <c r="O36" s="24">
        <f>VLOOKUP(tblRiskRegister322[[#This Row],[Asset Class]],tblInherentImpacts3046[],2,FALSE)</f>
        <v>4</v>
      </c>
      <c r="P36" s="24">
        <f>VLOOKUP(tblRiskRegister322[[#This Row],[Asset Class]],tblInherentImpacts3046[],3,FALSE)</f>
        <v>2</v>
      </c>
      <c r="Q36" s="24">
        <f>VLOOKUP(tblRiskRegister322[[#This Row],[Asset Class]],tblInherentImpacts3046[],4,FALSE)</f>
        <v>4</v>
      </c>
      <c r="R36" s="24">
        <f>VLOOKUP(tblRiskRegister322[[#This Row],[Asset Class]],tblInherentImpacts3046[],5,FALSE)</f>
        <v>5</v>
      </c>
      <c r="S36" s="24" t="str">
        <f>IFERROR(MAX(tblRiskRegister322[[#This Row],[Impact to Mission]:[Impact to Obligations]])*tblRiskRegister322[[#This Row],[Expectancy Score]],"")</f>
        <v/>
      </c>
      <c r="T36" s="24" t="str">
        <f>tblRiskRegister322[[#This Row],[Risk Score]]</f>
        <v/>
      </c>
      <c r="U36" s="13"/>
      <c r="V36" s="50">
        <v>16.8</v>
      </c>
      <c r="W36" s="15" t="s">
        <v>173</v>
      </c>
      <c r="X36" s="15" t="s">
        <v>399</v>
      </c>
      <c r="Y36" s="15"/>
      <c r="Z36" s="16"/>
      <c r="AA36" s="23" t="str">
        <f>IFERROR(VLOOKUP(10*tblRiskRegister322[[#This Row],[Risk Treatment Safeguard Maturity Score]]+tblRiskRegister322[[#This Row],[VCDB Index]],tblHITIndexWeightTable[],4,FALSE),"")</f>
        <v/>
      </c>
      <c r="AB36" s="65"/>
      <c r="AC36" s="65"/>
      <c r="AD36" s="65"/>
      <c r="AE36" s="65"/>
      <c r="AF36" s="23" t="str">
        <f>IFERROR(MAX(tblRiskRegister322[[#This Row],[Risk Treatment Safeguard Impact to Mission]:[Risk Treatment Safeguard Impact to Obligations]])*tblRiskRegister322[[#This Row],[Risk Treatment
Safeguard Expectancy Score]],"")</f>
        <v/>
      </c>
      <c r="AG36" s="23" t="str">
        <f>IF(tblRiskRegister322[[#This Row],[Risk Score]]&gt;AcceptableRisk1,IF(tblRiskRegister322[[#This Row],[Risk Treatment Safeguard Risk Score]]&lt;AcceptableRisk1, IF(tblRiskRegister322[[#This Row],[Risk Treatment Safeguard Risk Score]]&lt;=tblRiskRegister322[[#This Row],[Risk Score]],"Yes","No"),"No"),"Yes")</f>
        <v>No</v>
      </c>
      <c r="AH36" s="17"/>
      <c r="AI36" s="17"/>
      <c r="AJ36" s="18"/>
    </row>
    <row r="37" spans="2:36" ht="70">
      <c r="B37" s="15" t="s">
        <v>92</v>
      </c>
      <c r="C37" s="15"/>
      <c r="D37" s="13">
        <v>16.899999999999999</v>
      </c>
      <c r="E37" s="14" t="s">
        <v>174</v>
      </c>
      <c r="F37" s="13"/>
      <c r="G37" s="13" t="s">
        <v>416</v>
      </c>
      <c r="H37" s="13" t="s">
        <v>512</v>
      </c>
      <c r="I37" s="14"/>
      <c r="J37" s="14"/>
      <c r="K37" s="14"/>
      <c r="L37" s="16"/>
      <c r="M37" s="24">
        <f>IFERROR(VLOOKUP(tblRiskRegister322[[#This Row],[Asset Class]],tblVCDBIndex[],4,FALSE),"")</f>
        <v>2</v>
      </c>
      <c r="N37" s="24" t="str">
        <f>IFERROR(VLOOKUP(10*tblRiskRegister322[[#This Row],[Safeguard Maturity Score]]+tblRiskRegister322[[#This Row],[VCDB Index]],tblHITIndexWeightTable[],4,FALSE),"")</f>
        <v/>
      </c>
      <c r="O37" s="24">
        <f>VLOOKUP(tblRiskRegister322[[#This Row],[Asset Class]],tblInherentImpacts3046[],2,FALSE)</f>
        <v>4</v>
      </c>
      <c r="P37" s="24">
        <f>VLOOKUP(tblRiskRegister322[[#This Row],[Asset Class]],tblInherentImpacts3046[],3,FALSE)</f>
        <v>2</v>
      </c>
      <c r="Q37" s="24">
        <f>VLOOKUP(tblRiskRegister322[[#This Row],[Asset Class]],tblInherentImpacts3046[],4,FALSE)</f>
        <v>4</v>
      </c>
      <c r="R37" s="24">
        <f>VLOOKUP(tblRiskRegister322[[#This Row],[Asset Class]],tblInherentImpacts3046[],5,FALSE)</f>
        <v>5</v>
      </c>
      <c r="S37" s="24" t="str">
        <f>IFERROR(MAX(tblRiskRegister322[[#This Row],[Impact to Mission]:[Impact to Obligations]])*tblRiskRegister322[[#This Row],[Expectancy Score]],"")</f>
        <v/>
      </c>
      <c r="T37" s="24" t="str">
        <f>tblRiskRegister322[[#This Row],[Risk Score]]</f>
        <v/>
      </c>
      <c r="U37" s="13"/>
      <c r="V37" s="50">
        <v>16.899999999999999</v>
      </c>
      <c r="W37" s="15" t="s">
        <v>174</v>
      </c>
      <c r="X37" s="15" t="s">
        <v>400</v>
      </c>
      <c r="Y37" s="15"/>
      <c r="Z37" s="16"/>
      <c r="AA37" s="23" t="str">
        <f>IFERROR(VLOOKUP(10*tblRiskRegister322[[#This Row],[Risk Treatment Safeguard Maturity Score]]+tblRiskRegister322[[#This Row],[VCDB Index]],tblHITIndexWeightTable[],4,FALSE),"")</f>
        <v/>
      </c>
      <c r="AB37" s="65"/>
      <c r="AC37" s="65"/>
      <c r="AD37" s="65"/>
      <c r="AE37" s="65"/>
      <c r="AF37" s="23" t="str">
        <f>IFERROR(MAX(tblRiskRegister322[[#This Row],[Risk Treatment Safeguard Impact to Mission]:[Risk Treatment Safeguard Impact to Obligations]])*tblRiskRegister322[[#This Row],[Risk Treatment
Safeguard Expectancy Score]],"")</f>
        <v/>
      </c>
      <c r="AG37" s="23" t="str">
        <f>IF(tblRiskRegister322[[#This Row],[Risk Score]]&gt;AcceptableRisk1,IF(tblRiskRegister322[[#This Row],[Risk Treatment Safeguard Risk Score]]&lt;AcceptableRisk1, IF(tblRiskRegister322[[#This Row],[Risk Treatment Safeguard Risk Score]]&lt;=tblRiskRegister322[[#This Row],[Risk Score]],"Yes","No"),"No"),"Yes")</f>
        <v>No</v>
      </c>
      <c r="AH37" s="17"/>
      <c r="AI37" s="17"/>
      <c r="AJ37" s="18"/>
    </row>
    <row r="38" spans="2:36" ht="98">
      <c r="B38" s="15" t="s">
        <v>92</v>
      </c>
      <c r="C38" s="15"/>
      <c r="D38" s="58">
        <v>16.100000000000001</v>
      </c>
      <c r="E38" s="14" t="s">
        <v>175</v>
      </c>
      <c r="F38" s="13"/>
      <c r="G38" s="13" t="s">
        <v>416</v>
      </c>
      <c r="H38" s="13" t="s">
        <v>512</v>
      </c>
      <c r="I38" s="14"/>
      <c r="J38" s="14"/>
      <c r="K38" s="14"/>
      <c r="L38" s="16"/>
      <c r="M38" s="24">
        <f>IFERROR(VLOOKUP(tblRiskRegister322[[#This Row],[Asset Class]],tblVCDBIndex[],4,FALSE),"")</f>
        <v>2</v>
      </c>
      <c r="N38" s="24" t="str">
        <f>IFERROR(VLOOKUP(10*tblRiskRegister322[[#This Row],[Safeguard Maturity Score]]+tblRiskRegister322[[#This Row],[VCDB Index]],tblHITIndexWeightTable[],4,FALSE),"")</f>
        <v/>
      </c>
      <c r="O38" s="24">
        <f>VLOOKUP(tblRiskRegister322[[#This Row],[Asset Class]],tblInherentImpacts3046[],2,FALSE)</f>
        <v>4</v>
      </c>
      <c r="P38" s="24">
        <f>VLOOKUP(tblRiskRegister322[[#This Row],[Asset Class]],tblInherentImpacts3046[],3,FALSE)</f>
        <v>2</v>
      </c>
      <c r="Q38" s="24">
        <f>VLOOKUP(tblRiskRegister322[[#This Row],[Asset Class]],tblInherentImpacts3046[],4,FALSE)</f>
        <v>4</v>
      </c>
      <c r="R38" s="24">
        <f>VLOOKUP(tblRiskRegister322[[#This Row],[Asset Class]],tblInherentImpacts3046[],5,FALSE)</f>
        <v>5</v>
      </c>
      <c r="S38" s="24" t="str">
        <f>IFERROR(MAX(tblRiskRegister322[[#This Row],[Impact to Mission]:[Impact to Obligations]])*tblRiskRegister322[[#This Row],[Expectancy Score]],"")</f>
        <v/>
      </c>
      <c r="T38" s="24" t="str">
        <f>tblRiskRegister322[[#This Row],[Risk Score]]</f>
        <v/>
      </c>
      <c r="U38" s="13"/>
      <c r="V38" s="50">
        <v>16.100000000000001</v>
      </c>
      <c r="W38" s="15" t="s">
        <v>175</v>
      </c>
      <c r="X38" s="15" t="s">
        <v>401</v>
      </c>
      <c r="Y38" s="15"/>
      <c r="Z38" s="16"/>
      <c r="AA38" s="23" t="str">
        <f>IFERROR(VLOOKUP(10*tblRiskRegister322[[#This Row],[Risk Treatment Safeguard Maturity Score]]+tblRiskRegister322[[#This Row],[VCDB Index]],tblHITIndexWeightTable[],4,FALSE),"")</f>
        <v/>
      </c>
      <c r="AB38" s="65"/>
      <c r="AC38" s="65"/>
      <c r="AD38" s="65"/>
      <c r="AE38" s="65"/>
      <c r="AF38" s="23" t="str">
        <f>IFERROR(MAX(tblRiskRegister322[[#This Row],[Risk Treatment Safeguard Impact to Mission]:[Risk Treatment Safeguard Impact to Obligations]])*tblRiskRegister322[[#This Row],[Risk Treatment
Safeguard Expectancy Score]],"")</f>
        <v/>
      </c>
      <c r="AG38" s="23" t="str">
        <f>IF(tblRiskRegister322[[#This Row],[Risk Score]]&gt;AcceptableRisk1,IF(tblRiskRegister322[[#This Row],[Risk Treatment Safeguard Risk Score]]&lt;AcceptableRisk1, IF(tblRiskRegister322[[#This Row],[Risk Treatment Safeguard Risk Score]]&lt;=tblRiskRegister322[[#This Row],[Risk Score]],"Yes","No"),"No"),"Yes")</f>
        <v>No</v>
      </c>
      <c r="AH38" s="17"/>
      <c r="AI38" s="17"/>
      <c r="AJ38" s="18"/>
    </row>
    <row r="39" spans="2:36" ht="98">
      <c r="B39" s="15" t="s">
        <v>92</v>
      </c>
      <c r="C39" s="15"/>
      <c r="D39" s="13">
        <v>16.11</v>
      </c>
      <c r="E39" s="14" t="s">
        <v>176</v>
      </c>
      <c r="F39" s="13"/>
      <c r="G39" s="13" t="s">
        <v>416</v>
      </c>
      <c r="H39" s="13" t="s">
        <v>512</v>
      </c>
      <c r="I39" s="14"/>
      <c r="J39" s="14"/>
      <c r="K39" s="14"/>
      <c r="L39" s="16"/>
      <c r="M39" s="24">
        <f>IFERROR(VLOOKUP(tblRiskRegister322[[#This Row],[Asset Class]],tblVCDBIndex[],4,FALSE),"")</f>
        <v>2</v>
      </c>
      <c r="N39" s="24" t="str">
        <f>IFERROR(VLOOKUP(10*tblRiskRegister322[[#This Row],[Safeguard Maturity Score]]+tblRiskRegister322[[#This Row],[VCDB Index]],tblHITIndexWeightTable[],4,FALSE),"")</f>
        <v/>
      </c>
      <c r="O39" s="24">
        <f>VLOOKUP(tblRiskRegister322[[#This Row],[Asset Class]],tblInherentImpacts3046[],2,FALSE)</f>
        <v>4</v>
      </c>
      <c r="P39" s="24">
        <f>VLOOKUP(tblRiskRegister322[[#This Row],[Asset Class]],tblInherentImpacts3046[],3,FALSE)</f>
        <v>2</v>
      </c>
      <c r="Q39" s="24">
        <f>VLOOKUP(tblRiskRegister322[[#This Row],[Asset Class]],tblInherentImpacts3046[],4,FALSE)</f>
        <v>4</v>
      </c>
      <c r="R39" s="24">
        <f>VLOOKUP(tblRiskRegister322[[#This Row],[Asset Class]],tblInherentImpacts3046[],5,FALSE)</f>
        <v>5</v>
      </c>
      <c r="S39" s="24" t="str">
        <f>IFERROR(MAX(tblRiskRegister322[[#This Row],[Impact to Mission]:[Impact to Obligations]])*tblRiskRegister322[[#This Row],[Expectancy Score]],"")</f>
        <v/>
      </c>
      <c r="T39" s="24" t="str">
        <f>tblRiskRegister322[[#This Row],[Risk Score]]</f>
        <v/>
      </c>
      <c r="U39" s="13"/>
      <c r="V39" s="50">
        <v>16.11</v>
      </c>
      <c r="W39" s="15" t="s">
        <v>176</v>
      </c>
      <c r="X39" s="15" t="s">
        <v>402</v>
      </c>
      <c r="Y39" s="15"/>
      <c r="Z39" s="16"/>
      <c r="AA39" s="23" t="str">
        <f>IFERROR(VLOOKUP(10*tblRiskRegister322[[#This Row],[Risk Treatment Safeguard Maturity Score]]+tblRiskRegister322[[#This Row],[VCDB Index]],tblHITIndexWeightTable[],4,FALSE),"")</f>
        <v/>
      </c>
      <c r="AB39" s="65"/>
      <c r="AC39" s="65"/>
      <c r="AD39" s="65"/>
      <c r="AE39" s="65"/>
      <c r="AF39" s="23" t="str">
        <f>IFERROR(MAX(tblRiskRegister322[[#This Row],[Risk Treatment Safeguard Impact to Mission]:[Risk Treatment Safeguard Impact to Obligations]])*tblRiskRegister322[[#This Row],[Risk Treatment
Safeguard Expectancy Score]],"")</f>
        <v/>
      </c>
      <c r="AG39" s="23" t="str">
        <f>IF(tblRiskRegister322[[#This Row],[Risk Score]]&gt;AcceptableRisk1,IF(tblRiskRegister322[[#This Row],[Risk Treatment Safeguard Risk Score]]&lt;AcceptableRisk1, IF(tblRiskRegister322[[#This Row],[Risk Treatment Safeguard Risk Score]]&lt;=tblRiskRegister322[[#This Row],[Risk Score]],"Yes","No"),"No"),"Yes")</f>
        <v>No</v>
      </c>
      <c r="AH39" s="17"/>
      <c r="AI39" s="17"/>
      <c r="AJ39" s="18"/>
    </row>
    <row r="40" spans="2:36" ht="56">
      <c r="B40" s="15" t="s">
        <v>90</v>
      </c>
      <c r="C40" s="15"/>
      <c r="D40" s="13">
        <v>3.1</v>
      </c>
      <c r="E40" s="14" t="s">
        <v>42</v>
      </c>
      <c r="F40" s="13" t="s">
        <v>416</v>
      </c>
      <c r="G40" s="13" t="s">
        <v>416</v>
      </c>
      <c r="H40" s="13" t="s">
        <v>510</v>
      </c>
      <c r="I40" s="14"/>
      <c r="J40" s="14"/>
      <c r="K40" s="14"/>
      <c r="L40" s="66">
        <v>2</v>
      </c>
      <c r="M40" s="24">
        <f>IFERROR(VLOOKUP(tblRiskRegister322[[#This Row],[Asset Class]],tblVCDBIndex[],4,FALSE),"")</f>
        <v>3</v>
      </c>
      <c r="N40" s="24">
        <f>IFERROR(VLOOKUP(10*tblRiskRegister322[[#This Row],[Safeguard Maturity Score]]+tblRiskRegister322[[#This Row],[VCDB Index]],tblHITIndexWeightTable[],4,FALSE),"")</f>
        <v>4</v>
      </c>
      <c r="O40" s="24">
        <f>VLOOKUP(tblRiskRegister322[[#This Row],[Asset Class]],tblInherentImpacts3046[],2,FALSE)</f>
        <v>3</v>
      </c>
      <c r="P40" s="24">
        <f>VLOOKUP(tblRiskRegister322[[#This Row],[Asset Class]],tblInherentImpacts3046[],3,FALSE)</f>
        <v>4</v>
      </c>
      <c r="Q40" s="24">
        <f>VLOOKUP(tblRiskRegister322[[#This Row],[Asset Class]],tblInherentImpacts3046[],4,FALSE)</f>
        <v>5</v>
      </c>
      <c r="R40" s="24">
        <f>VLOOKUP(tblRiskRegister322[[#This Row],[Asset Class]],tblInherentImpacts3046[],5,FALSE)</f>
        <v>2</v>
      </c>
      <c r="S40" s="24">
        <f>IFERROR(MAX(tblRiskRegister322[[#This Row],[Impact to Mission]:[Impact to Obligations]])*tblRiskRegister322[[#This Row],[Expectancy Score]],"")</f>
        <v>20</v>
      </c>
      <c r="T40" s="24">
        <f>tblRiskRegister322[[#This Row],[Risk Score]]</f>
        <v>20</v>
      </c>
      <c r="U40" s="13"/>
      <c r="V40" s="50">
        <v>3.1</v>
      </c>
      <c r="W40" s="15" t="s">
        <v>42</v>
      </c>
      <c r="X40" s="15" t="s">
        <v>294</v>
      </c>
      <c r="Y40" s="15"/>
      <c r="Z40" s="16"/>
      <c r="AA40" s="23" t="str">
        <f>IFERROR(VLOOKUP(10*tblRiskRegister322[[#This Row],[Risk Treatment Safeguard Maturity Score]]+tblRiskRegister322[[#This Row],[VCDB Index]],tblHITIndexWeightTable[],4,FALSE),"")</f>
        <v/>
      </c>
      <c r="AB40" s="65"/>
      <c r="AC40" s="65"/>
      <c r="AD40" s="65"/>
      <c r="AE40" s="65"/>
      <c r="AF40" s="23" t="str">
        <f>IFERROR(MAX(tblRiskRegister322[[#This Row],[Risk Treatment Safeguard Impact to Mission]:[Risk Treatment Safeguard Impact to Obligations]])*tblRiskRegister322[[#This Row],[Risk Treatment
Safeguard Expectancy Score]],"")</f>
        <v/>
      </c>
      <c r="AG40" s="23" t="str">
        <f>IF(tblRiskRegister322[[#This Row],[Risk Score]]&gt;AcceptableRisk1,IF(tblRiskRegister322[[#This Row],[Risk Treatment Safeguard Risk Score]]&lt;AcceptableRisk1, IF(tblRiskRegister322[[#This Row],[Risk Treatment Safeguard Risk Score]]&lt;=tblRiskRegister322[[#This Row],[Risk Score]],"Yes","No"),"No"),"Yes")</f>
        <v>No</v>
      </c>
      <c r="AH40" s="17"/>
      <c r="AI40" s="17"/>
      <c r="AJ40" s="18"/>
    </row>
    <row r="41" spans="2:36" ht="42">
      <c r="B41" s="15" t="s">
        <v>90</v>
      </c>
      <c r="C41" s="15"/>
      <c r="D41" s="13">
        <v>3.2</v>
      </c>
      <c r="E41" s="14" t="s">
        <v>43</v>
      </c>
      <c r="F41" s="13" t="s">
        <v>416</v>
      </c>
      <c r="G41" s="13" t="s">
        <v>416</v>
      </c>
      <c r="H41" s="13" t="s">
        <v>510</v>
      </c>
      <c r="I41" s="14"/>
      <c r="J41" s="14"/>
      <c r="K41" s="14"/>
      <c r="L41" s="66">
        <v>2</v>
      </c>
      <c r="M41" s="24">
        <f>IFERROR(VLOOKUP(tblRiskRegister322[[#This Row],[Asset Class]],tblVCDBIndex[],4,FALSE),"")</f>
        <v>3</v>
      </c>
      <c r="N41" s="24">
        <f>IFERROR(VLOOKUP(10*tblRiskRegister322[[#This Row],[Safeguard Maturity Score]]+tblRiskRegister322[[#This Row],[VCDB Index]],tblHITIndexWeightTable[],4,FALSE),"")</f>
        <v>4</v>
      </c>
      <c r="O41" s="24">
        <f>VLOOKUP(tblRiskRegister322[[#This Row],[Asset Class]],tblInherentImpacts3046[],2,FALSE)</f>
        <v>3</v>
      </c>
      <c r="P41" s="24">
        <f>VLOOKUP(tblRiskRegister322[[#This Row],[Asset Class]],tblInherentImpacts3046[],3,FALSE)</f>
        <v>4</v>
      </c>
      <c r="Q41" s="24">
        <f>VLOOKUP(tblRiskRegister322[[#This Row],[Asset Class]],tblInherentImpacts3046[],4,FALSE)</f>
        <v>5</v>
      </c>
      <c r="R41" s="24">
        <f>VLOOKUP(tblRiskRegister322[[#This Row],[Asset Class]],tblInherentImpacts3046[],5,FALSE)</f>
        <v>2</v>
      </c>
      <c r="S41" s="24">
        <f>IFERROR(MAX(tblRiskRegister322[[#This Row],[Impact to Mission]:[Impact to Obligations]])*tblRiskRegister322[[#This Row],[Expectancy Score]],"")</f>
        <v>20</v>
      </c>
      <c r="T41" s="24">
        <f>tblRiskRegister322[[#This Row],[Risk Score]]</f>
        <v>20</v>
      </c>
      <c r="U41" s="13"/>
      <c r="V41" s="50">
        <v>3.2</v>
      </c>
      <c r="W41" s="15" t="s">
        <v>43</v>
      </c>
      <c r="X41" s="15" t="s">
        <v>295</v>
      </c>
      <c r="Y41" s="15"/>
      <c r="Z41" s="16"/>
      <c r="AA41" s="23" t="str">
        <f>IFERROR(VLOOKUP(10*tblRiskRegister322[[#This Row],[Risk Treatment Safeguard Maturity Score]]+tblRiskRegister322[[#This Row],[VCDB Index]],tblHITIndexWeightTable[],4,FALSE),"")</f>
        <v/>
      </c>
      <c r="AB41" s="65"/>
      <c r="AC41" s="65"/>
      <c r="AD41" s="65"/>
      <c r="AE41" s="65"/>
      <c r="AF41" s="23" t="str">
        <f>IFERROR(MAX(tblRiskRegister322[[#This Row],[Risk Treatment Safeguard Impact to Mission]:[Risk Treatment Safeguard Impact to Obligations]])*tblRiskRegister322[[#This Row],[Risk Treatment
Safeguard Expectancy Score]],"")</f>
        <v/>
      </c>
      <c r="AG41" s="23" t="str">
        <f>IF(tblRiskRegister322[[#This Row],[Risk Score]]&gt;AcceptableRisk1,IF(tblRiskRegister322[[#This Row],[Risk Treatment Safeguard Risk Score]]&lt;AcceptableRisk1, IF(tblRiskRegister322[[#This Row],[Risk Treatment Safeguard Risk Score]]&lt;=tblRiskRegister322[[#This Row],[Risk Score]],"Yes","No"),"No"),"Yes")</f>
        <v>No</v>
      </c>
      <c r="AH41" s="17"/>
      <c r="AI41" s="17"/>
      <c r="AJ41" s="18"/>
    </row>
    <row r="42" spans="2:36" ht="42">
      <c r="B42" s="15" t="s">
        <v>90</v>
      </c>
      <c r="C42" s="15"/>
      <c r="D42" s="13">
        <v>3.3</v>
      </c>
      <c r="E42" s="14" t="s">
        <v>44</v>
      </c>
      <c r="F42" s="13" t="s">
        <v>416</v>
      </c>
      <c r="G42" s="13" t="s">
        <v>416</v>
      </c>
      <c r="H42" s="13" t="s">
        <v>512</v>
      </c>
      <c r="I42" s="14"/>
      <c r="J42" s="14"/>
      <c r="K42" s="14"/>
      <c r="L42" s="66">
        <v>1</v>
      </c>
      <c r="M42" s="24">
        <f>IFERROR(VLOOKUP(tblRiskRegister322[[#This Row],[Asset Class]],tblVCDBIndex[],4,FALSE),"")</f>
        <v>3</v>
      </c>
      <c r="N42" s="24">
        <f>IFERROR(VLOOKUP(10*tblRiskRegister322[[#This Row],[Safeguard Maturity Score]]+tblRiskRegister322[[#This Row],[VCDB Index]],tblHITIndexWeightTable[],4,FALSE),"")</f>
        <v>5</v>
      </c>
      <c r="O42" s="24">
        <f>VLOOKUP(tblRiskRegister322[[#This Row],[Asset Class]],tblInherentImpacts3046[],2,FALSE)</f>
        <v>3</v>
      </c>
      <c r="P42" s="24">
        <f>VLOOKUP(tblRiskRegister322[[#This Row],[Asset Class]],tblInherentImpacts3046[],3,FALSE)</f>
        <v>4</v>
      </c>
      <c r="Q42" s="24">
        <f>VLOOKUP(tblRiskRegister322[[#This Row],[Asset Class]],tblInherentImpacts3046[],4,FALSE)</f>
        <v>5</v>
      </c>
      <c r="R42" s="24">
        <f>VLOOKUP(tblRiskRegister322[[#This Row],[Asset Class]],tblInherentImpacts3046[],5,FALSE)</f>
        <v>2</v>
      </c>
      <c r="S42" s="24">
        <f>IFERROR(MAX(tblRiskRegister322[[#This Row],[Impact to Mission]:[Impact to Obligations]])*tblRiskRegister322[[#This Row],[Expectancy Score]],"")</f>
        <v>25</v>
      </c>
      <c r="T42" s="24">
        <f>tblRiskRegister322[[#This Row],[Risk Score]]</f>
        <v>25</v>
      </c>
      <c r="U42" s="13"/>
      <c r="V42" s="50">
        <v>3.3</v>
      </c>
      <c r="W42" s="15" t="s">
        <v>44</v>
      </c>
      <c r="X42" s="15" t="s">
        <v>296</v>
      </c>
      <c r="Y42" s="15"/>
      <c r="Z42" s="16"/>
      <c r="AA42" s="23" t="str">
        <f>IFERROR(VLOOKUP(10*tblRiskRegister322[[#This Row],[Risk Treatment Safeguard Maturity Score]]+tblRiskRegister322[[#This Row],[VCDB Index]],tblHITIndexWeightTable[],4,FALSE),"")</f>
        <v/>
      </c>
      <c r="AB42" s="65"/>
      <c r="AC42" s="65"/>
      <c r="AD42" s="65"/>
      <c r="AE42" s="65"/>
      <c r="AF42" s="23" t="str">
        <f>IFERROR(MAX(tblRiskRegister322[[#This Row],[Risk Treatment Safeguard Impact to Mission]:[Risk Treatment Safeguard Impact to Obligations]])*tblRiskRegister322[[#This Row],[Risk Treatment
Safeguard Expectancy Score]],"")</f>
        <v/>
      </c>
      <c r="AG42" s="23" t="str">
        <f>IF(tblRiskRegister322[[#This Row],[Risk Score]]&gt;AcceptableRisk1,IF(tblRiskRegister322[[#This Row],[Risk Treatment Safeguard Risk Score]]&lt;AcceptableRisk1, IF(tblRiskRegister322[[#This Row],[Risk Treatment Safeguard Risk Score]]&lt;=tblRiskRegister322[[#This Row],[Risk Score]],"Yes","No"),"No"),"Yes")</f>
        <v>No</v>
      </c>
      <c r="AH42" s="17"/>
      <c r="AI42" s="17"/>
      <c r="AJ42" s="18"/>
    </row>
    <row r="43" spans="2:36" ht="28">
      <c r="B43" s="15" t="s">
        <v>90</v>
      </c>
      <c r="C43" s="15"/>
      <c r="D43" s="13">
        <v>3.4</v>
      </c>
      <c r="E43" s="14" t="s">
        <v>45</v>
      </c>
      <c r="F43" s="13" t="s">
        <v>416</v>
      </c>
      <c r="G43" s="13" t="s">
        <v>416</v>
      </c>
      <c r="H43" s="13" t="s">
        <v>512</v>
      </c>
      <c r="I43" s="14"/>
      <c r="J43" s="14"/>
      <c r="K43" s="14"/>
      <c r="L43" s="66">
        <v>2</v>
      </c>
      <c r="M43" s="24">
        <f>IFERROR(VLOOKUP(tblRiskRegister322[[#This Row],[Asset Class]],tblVCDBIndex[],4,FALSE),"")</f>
        <v>3</v>
      </c>
      <c r="N43" s="24">
        <f>IFERROR(VLOOKUP(10*tblRiskRegister322[[#This Row],[Safeguard Maturity Score]]+tblRiskRegister322[[#This Row],[VCDB Index]],tblHITIndexWeightTable[],4,FALSE),"")</f>
        <v>4</v>
      </c>
      <c r="O43" s="24">
        <f>VLOOKUP(tblRiskRegister322[[#This Row],[Asset Class]],tblInherentImpacts3046[],2,FALSE)</f>
        <v>3</v>
      </c>
      <c r="P43" s="24">
        <f>VLOOKUP(tblRiskRegister322[[#This Row],[Asset Class]],tblInherentImpacts3046[],3,FALSE)</f>
        <v>4</v>
      </c>
      <c r="Q43" s="24">
        <f>VLOOKUP(tblRiskRegister322[[#This Row],[Asset Class]],tblInherentImpacts3046[],4,FALSE)</f>
        <v>5</v>
      </c>
      <c r="R43" s="24">
        <f>VLOOKUP(tblRiskRegister322[[#This Row],[Asset Class]],tblInherentImpacts3046[],5,FALSE)</f>
        <v>2</v>
      </c>
      <c r="S43" s="24">
        <f>IFERROR(MAX(tblRiskRegister322[[#This Row],[Impact to Mission]:[Impact to Obligations]])*tblRiskRegister322[[#This Row],[Expectancy Score]],"")</f>
        <v>20</v>
      </c>
      <c r="T43" s="24">
        <f>tblRiskRegister322[[#This Row],[Risk Score]]</f>
        <v>20</v>
      </c>
      <c r="U43" s="13"/>
      <c r="V43" s="50">
        <v>3.4</v>
      </c>
      <c r="W43" s="15" t="s">
        <v>45</v>
      </c>
      <c r="X43" s="15" t="s">
        <v>297</v>
      </c>
      <c r="Y43" s="15"/>
      <c r="Z43" s="16"/>
      <c r="AA43" s="23" t="str">
        <f>IFERROR(VLOOKUP(10*tblRiskRegister322[[#This Row],[Risk Treatment Safeguard Maturity Score]]+tblRiskRegister322[[#This Row],[VCDB Index]],tblHITIndexWeightTable[],4,FALSE),"")</f>
        <v/>
      </c>
      <c r="AB43" s="65"/>
      <c r="AC43" s="65"/>
      <c r="AD43" s="65"/>
      <c r="AE43" s="65"/>
      <c r="AF43" s="23" t="str">
        <f>IFERROR(MAX(tblRiskRegister322[[#This Row],[Risk Treatment Safeguard Impact to Mission]:[Risk Treatment Safeguard Impact to Obligations]])*tblRiskRegister322[[#This Row],[Risk Treatment
Safeguard Expectancy Score]],"")</f>
        <v/>
      </c>
      <c r="AG43" s="23" t="str">
        <f>IF(tblRiskRegister322[[#This Row],[Risk Score]]&gt;AcceptableRisk1,IF(tblRiskRegister322[[#This Row],[Risk Treatment Safeguard Risk Score]]&lt;AcceptableRisk1, IF(tblRiskRegister322[[#This Row],[Risk Treatment Safeguard Risk Score]]&lt;=tblRiskRegister322[[#This Row],[Risk Score]],"Yes","No"),"No"),"Yes")</f>
        <v>No</v>
      </c>
      <c r="AH43" s="17"/>
      <c r="AI43" s="17"/>
      <c r="AJ43" s="18"/>
    </row>
    <row r="44" spans="2:36" ht="28">
      <c r="B44" s="15" t="s">
        <v>90</v>
      </c>
      <c r="C44" s="15"/>
      <c r="D44" s="13">
        <v>3.5</v>
      </c>
      <c r="E44" s="14" t="s">
        <v>46</v>
      </c>
      <c r="F44" s="13" t="s">
        <v>416</v>
      </c>
      <c r="G44" s="13" t="s">
        <v>416</v>
      </c>
      <c r="H44" s="13" t="s">
        <v>512</v>
      </c>
      <c r="I44" s="14"/>
      <c r="J44" s="14"/>
      <c r="K44" s="14"/>
      <c r="L44" s="66">
        <v>4</v>
      </c>
      <c r="M44" s="24">
        <f>IFERROR(VLOOKUP(tblRiskRegister322[[#This Row],[Asset Class]],tblVCDBIndex[],4,FALSE),"")</f>
        <v>3</v>
      </c>
      <c r="N44" s="24">
        <f>IFERROR(VLOOKUP(10*tblRiskRegister322[[#This Row],[Safeguard Maturity Score]]+tblRiskRegister322[[#This Row],[VCDB Index]],tblHITIndexWeightTable[],4,FALSE),"")</f>
        <v>2</v>
      </c>
      <c r="O44" s="24">
        <f>VLOOKUP(tblRiskRegister322[[#This Row],[Asset Class]],tblInherentImpacts3046[],2,FALSE)</f>
        <v>3</v>
      </c>
      <c r="P44" s="24">
        <f>VLOOKUP(tblRiskRegister322[[#This Row],[Asset Class]],tblInherentImpacts3046[],3,FALSE)</f>
        <v>4</v>
      </c>
      <c r="Q44" s="24">
        <f>VLOOKUP(tblRiskRegister322[[#This Row],[Asset Class]],tblInherentImpacts3046[],4,FALSE)</f>
        <v>5</v>
      </c>
      <c r="R44" s="24">
        <f>VLOOKUP(tblRiskRegister322[[#This Row],[Asset Class]],tblInherentImpacts3046[],5,FALSE)</f>
        <v>2</v>
      </c>
      <c r="S44" s="24">
        <f>IFERROR(MAX(tblRiskRegister322[[#This Row],[Impact to Mission]:[Impact to Obligations]])*tblRiskRegister322[[#This Row],[Expectancy Score]],"")</f>
        <v>10</v>
      </c>
      <c r="T44" s="24">
        <f>tblRiskRegister322[[#This Row],[Risk Score]]</f>
        <v>10</v>
      </c>
      <c r="U44" s="13"/>
      <c r="V44" s="50">
        <v>3.5</v>
      </c>
      <c r="W44" s="15" t="s">
        <v>46</v>
      </c>
      <c r="X44" s="15" t="s">
        <v>298</v>
      </c>
      <c r="Y44" s="15"/>
      <c r="Z44" s="16"/>
      <c r="AA44" s="23" t="str">
        <f>IFERROR(VLOOKUP(10*tblRiskRegister322[[#This Row],[Risk Treatment Safeguard Maturity Score]]+tblRiskRegister322[[#This Row],[VCDB Index]],tblHITIndexWeightTable[],4,FALSE),"")</f>
        <v/>
      </c>
      <c r="AB44" s="65"/>
      <c r="AC44" s="65"/>
      <c r="AD44" s="65"/>
      <c r="AE44" s="65"/>
      <c r="AF44" s="23" t="str">
        <f>IFERROR(MAX(tblRiskRegister322[[#This Row],[Risk Treatment Safeguard Impact to Mission]:[Risk Treatment Safeguard Impact to Obligations]])*tblRiskRegister322[[#This Row],[Risk Treatment
Safeguard Expectancy Score]],"")</f>
        <v/>
      </c>
      <c r="AG44" s="23" t="str">
        <f>IF(tblRiskRegister322[[#This Row],[Risk Score]]&gt;AcceptableRisk1,IF(tblRiskRegister322[[#This Row],[Risk Treatment Safeguard Risk Score]]&lt;AcceptableRisk1, IF(tblRiskRegister322[[#This Row],[Risk Treatment Safeguard Risk Score]]&lt;=tblRiskRegister322[[#This Row],[Risk Score]],"Yes","No"),"No"),"Yes")</f>
        <v>No</v>
      </c>
      <c r="AH44" s="17"/>
      <c r="AI44" s="17"/>
      <c r="AJ44" s="18"/>
    </row>
    <row r="45" spans="2:36" ht="56">
      <c r="B45" s="15" t="s">
        <v>90</v>
      </c>
      <c r="C45" s="15"/>
      <c r="D45" s="13">
        <v>3.7</v>
      </c>
      <c r="E45" s="14" t="s">
        <v>177</v>
      </c>
      <c r="F45" s="13"/>
      <c r="G45" s="13" t="s">
        <v>416</v>
      </c>
      <c r="H45" s="13" t="s">
        <v>510</v>
      </c>
      <c r="I45" s="14"/>
      <c r="J45" s="14"/>
      <c r="K45" s="14"/>
      <c r="L45" s="66">
        <v>3</v>
      </c>
      <c r="M45" s="24">
        <f>IFERROR(VLOOKUP(tblRiskRegister322[[#This Row],[Asset Class]],tblVCDBIndex[],4,FALSE),"")</f>
        <v>3</v>
      </c>
      <c r="N45" s="24">
        <f>IFERROR(VLOOKUP(10*tblRiskRegister322[[#This Row],[Safeguard Maturity Score]]+tblRiskRegister322[[#This Row],[VCDB Index]],tblHITIndexWeightTable[],4,FALSE),"")</f>
        <v>3</v>
      </c>
      <c r="O45" s="24">
        <f>VLOOKUP(tblRiskRegister322[[#This Row],[Asset Class]],tblInherentImpacts3046[],2,FALSE)</f>
        <v>3</v>
      </c>
      <c r="P45" s="24">
        <f>VLOOKUP(tblRiskRegister322[[#This Row],[Asset Class]],tblInherentImpacts3046[],3,FALSE)</f>
        <v>4</v>
      </c>
      <c r="Q45" s="24">
        <f>VLOOKUP(tblRiskRegister322[[#This Row],[Asset Class]],tblInherentImpacts3046[],4,FALSE)</f>
        <v>5</v>
      </c>
      <c r="R45" s="24">
        <f>VLOOKUP(tblRiskRegister322[[#This Row],[Asset Class]],tblInherentImpacts3046[],5,FALSE)</f>
        <v>2</v>
      </c>
      <c r="S45" s="24">
        <f>IFERROR(MAX(tblRiskRegister322[[#This Row],[Impact to Mission]:[Impact to Obligations]])*tblRiskRegister322[[#This Row],[Expectancy Score]],"")</f>
        <v>15</v>
      </c>
      <c r="T45" s="24">
        <f>tblRiskRegister322[[#This Row],[Risk Score]]</f>
        <v>15</v>
      </c>
      <c r="U45" s="13"/>
      <c r="V45" s="50">
        <v>3.7</v>
      </c>
      <c r="W45" s="15" t="s">
        <v>177</v>
      </c>
      <c r="X45" s="15" t="s">
        <v>300</v>
      </c>
      <c r="Y45" s="15"/>
      <c r="Z45" s="16"/>
      <c r="AA45" s="23" t="str">
        <f>IFERROR(VLOOKUP(10*tblRiskRegister322[[#This Row],[Risk Treatment Safeguard Maturity Score]]+tblRiskRegister322[[#This Row],[VCDB Index]],tblHITIndexWeightTable[],4,FALSE),"")</f>
        <v/>
      </c>
      <c r="AB45" s="65"/>
      <c r="AC45" s="65"/>
      <c r="AD45" s="65"/>
      <c r="AE45" s="65"/>
      <c r="AF45" s="23" t="str">
        <f>IFERROR(MAX(tblRiskRegister322[[#This Row],[Risk Treatment Safeguard Impact to Mission]:[Risk Treatment Safeguard Impact to Obligations]])*tblRiskRegister322[[#This Row],[Risk Treatment
Safeguard Expectancy Score]],"")</f>
        <v/>
      </c>
      <c r="AG45" s="23" t="str">
        <f>IF(tblRiskRegister322[[#This Row],[Risk Score]]&gt;AcceptableRisk1,IF(tblRiskRegister322[[#This Row],[Risk Treatment Safeguard Risk Score]]&lt;AcceptableRisk1, IF(tblRiskRegister322[[#This Row],[Risk Treatment Safeguard Risk Score]]&lt;=tblRiskRegister322[[#This Row],[Risk Score]],"Yes","No"),"No"),"Yes")</f>
        <v>No</v>
      </c>
      <c r="AH45" s="17"/>
      <c r="AI45" s="17"/>
      <c r="AJ45" s="18"/>
    </row>
    <row r="46" spans="2:36" ht="42">
      <c r="B46" s="15" t="s">
        <v>90</v>
      </c>
      <c r="C46" s="15"/>
      <c r="D46" s="13">
        <v>3.8</v>
      </c>
      <c r="E46" s="14" t="s">
        <v>178</v>
      </c>
      <c r="F46" s="13"/>
      <c r="G46" s="13" t="s">
        <v>416</v>
      </c>
      <c r="H46" s="13" t="s">
        <v>510</v>
      </c>
      <c r="I46" s="14"/>
      <c r="J46" s="14"/>
      <c r="K46" s="14"/>
      <c r="L46" s="66">
        <v>3</v>
      </c>
      <c r="M46" s="24">
        <f>IFERROR(VLOOKUP(tblRiskRegister322[[#This Row],[Asset Class]],tblVCDBIndex[],4,FALSE),"")</f>
        <v>3</v>
      </c>
      <c r="N46" s="24">
        <f>IFERROR(VLOOKUP(10*tblRiskRegister322[[#This Row],[Safeguard Maturity Score]]+tblRiskRegister322[[#This Row],[VCDB Index]],tblHITIndexWeightTable[],4,FALSE),"")</f>
        <v>3</v>
      </c>
      <c r="O46" s="24">
        <f>VLOOKUP(tblRiskRegister322[[#This Row],[Asset Class]],tblInherentImpacts3046[],2,FALSE)</f>
        <v>3</v>
      </c>
      <c r="P46" s="24">
        <f>VLOOKUP(tblRiskRegister322[[#This Row],[Asset Class]],tblInherentImpacts3046[],3,FALSE)</f>
        <v>4</v>
      </c>
      <c r="Q46" s="24">
        <f>VLOOKUP(tblRiskRegister322[[#This Row],[Asset Class]],tblInherentImpacts3046[],4,FALSE)</f>
        <v>5</v>
      </c>
      <c r="R46" s="24">
        <f>VLOOKUP(tblRiskRegister322[[#This Row],[Asset Class]],tblInherentImpacts3046[],5,FALSE)</f>
        <v>2</v>
      </c>
      <c r="S46" s="24">
        <f>IFERROR(MAX(tblRiskRegister322[[#This Row],[Impact to Mission]:[Impact to Obligations]])*tblRiskRegister322[[#This Row],[Expectancy Score]],"")</f>
        <v>15</v>
      </c>
      <c r="T46" s="24">
        <f>tblRiskRegister322[[#This Row],[Risk Score]]</f>
        <v>15</v>
      </c>
      <c r="U46" s="13"/>
      <c r="V46" s="50">
        <v>3.8</v>
      </c>
      <c r="W46" s="15" t="s">
        <v>178</v>
      </c>
      <c r="X46" s="15" t="s">
        <v>301</v>
      </c>
      <c r="Y46" s="15"/>
      <c r="Z46" s="16"/>
      <c r="AA46" s="23" t="str">
        <f>IFERROR(VLOOKUP(10*tblRiskRegister322[[#This Row],[Risk Treatment Safeguard Maturity Score]]+tblRiskRegister322[[#This Row],[VCDB Index]],tblHITIndexWeightTable[],4,FALSE),"")</f>
        <v/>
      </c>
      <c r="AB46" s="65"/>
      <c r="AC46" s="65"/>
      <c r="AD46" s="65"/>
      <c r="AE46" s="65"/>
      <c r="AF46" s="23" t="str">
        <f>IFERROR(MAX(tblRiskRegister322[[#This Row],[Risk Treatment Safeguard Impact to Mission]:[Risk Treatment Safeguard Impact to Obligations]])*tblRiskRegister322[[#This Row],[Risk Treatment
Safeguard Expectancy Score]],"")</f>
        <v/>
      </c>
      <c r="AG46" s="23" t="str">
        <f>IF(tblRiskRegister322[[#This Row],[Risk Score]]&gt;AcceptableRisk1,IF(tblRiskRegister322[[#This Row],[Risk Treatment Safeguard Risk Score]]&lt;AcceptableRisk1, IF(tblRiskRegister322[[#This Row],[Risk Treatment Safeguard Risk Score]]&lt;=tblRiskRegister322[[#This Row],[Risk Score]],"Yes","No"),"No"),"Yes")</f>
        <v>No</v>
      </c>
      <c r="AH46" s="17"/>
      <c r="AI46" s="17"/>
      <c r="AJ46" s="18"/>
    </row>
    <row r="47" spans="2:36" ht="14">
      <c r="B47" s="15" t="s">
        <v>90</v>
      </c>
      <c r="C47" s="15"/>
      <c r="D47" s="13">
        <v>3.9</v>
      </c>
      <c r="E47" s="14" t="s">
        <v>179</v>
      </c>
      <c r="F47" s="13"/>
      <c r="G47" s="13" t="s">
        <v>416</v>
      </c>
      <c r="H47" s="13" t="s">
        <v>512</v>
      </c>
      <c r="I47" s="14"/>
      <c r="J47" s="14"/>
      <c r="K47" s="14"/>
      <c r="L47" s="66">
        <v>1</v>
      </c>
      <c r="M47" s="24">
        <f>IFERROR(VLOOKUP(tblRiskRegister322[[#This Row],[Asset Class]],tblVCDBIndex[],4,FALSE),"")</f>
        <v>3</v>
      </c>
      <c r="N47" s="24">
        <f>IFERROR(VLOOKUP(10*tblRiskRegister322[[#This Row],[Safeguard Maturity Score]]+tblRiskRegister322[[#This Row],[VCDB Index]],tblHITIndexWeightTable[],4,FALSE),"")</f>
        <v>5</v>
      </c>
      <c r="O47" s="24">
        <f>VLOOKUP(tblRiskRegister322[[#This Row],[Asset Class]],tblInherentImpacts3046[],2,FALSE)</f>
        <v>3</v>
      </c>
      <c r="P47" s="24">
        <f>VLOOKUP(tblRiskRegister322[[#This Row],[Asset Class]],tblInherentImpacts3046[],3,FALSE)</f>
        <v>4</v>
      </c>
      <c r="Q47" s="24">
        <f>VLOOKUP(tblRiskRegister322[[#This Row],[Asset Class]],tblInherentImpacts3046[],4,FALSE)</f>
        <v>5</v>
      </c>
      <c r="R47" s="24">
        <f>VLOOKUP(tblRiskRegister322[[#This Row],[Asset Class]],tblInherentImpacts3046[],5,FALSE)</f>
        <v>2</v>
      </c>
      <c r="S47" s="24">
        <f>IFERROR(MAX(tblRiskRegister322[[#This Row],[Impact to Mission]:[Impact to Obligations]])*tblRiskRegister322[[#This Row],[Expectancy Score]],"")</f>
        <v>25</v>
      </c>
      <c r="T47" s="24">
        <f>tblRiskRegister322[[#This Row],[Risk Score]]</f>
        <v>25</v>
      </c>
      <c r="U47" s="13"/>
      <c r="V47" s="50">
        <v>3.9</v>
      </c>
      <c r="W47" s="15" t="s">
        <v>179</v>
      </c>
      <c r="X47" s="15" t="s">
        <v>302</v>
      </c>
      <c r="Y47" s="15"/>
      <c r="Z47" s="16"/>
      <c r="AA47" s="23" t="str">
        <f>IFERROR(VLOOKUP(10*tblRiskRegister322[[#This Row],[Risk Treatment Safeguard Maturity Score]]+tblRiskRegister322[[#This Row],[VCDB Index]],tblHITIndexWeightTable[],4,FALSE),"")</f>
        <v/>
      </c>
      <c r="AB47" s="65"/>
      <c r="AC47" s="65"/>
      <c r="AD47" s="65"/>
      <c r="AE47" s="65"/>
      <c r="AF47" s="23" t="str">
        <f>IFERROR(MAX(tblRiskRegister322[[#This Row],[Risk Treatment Safeguard Impact to Mission]:[Risk Treatment Safeguard Impact to Obligations]])*tblRiskRegister322[[#This Row],[Risk Treatment
Safeguard Expectancy Score]],"")</f>
        <v/>
      </c>
      <c r="AG47" s="23" t="str">
        <f>IF(tblRiskRegister322[[#This Row],[Risk Score]]&gt;AcceptableRisk1,IF(tblRiskRegister322[[#This Row],[Risk Treatment Safeguard Risk Score]]&lt;AcceptableRisk1, IF(tblRiskRegister322[[#This Row],[Risk Treatment Safeguard Risk Score]]&lt;=tblRiskRegister322[[#This Row],[Risk Score]],"Yes","No"),"No"),"Yes")</f>
        <v>No</v>
      </c>
      <c r="AH47" s="17"/>
      <c r="AI47" s="17"/>
      <c r="AJ47" s="18"/>
    </row>
    <row r="48" spans="2:36" ht="28">
      <c r="B48" s="15" t="s">
        <v>90</v>
      </c>
      <c r="C48" s="15"/>
      <c r="D48" s="58">
        <v>3.1</v>
      </c>
      <c r="E48" s="14" t="s">
        <v>180</v>
      </c>
      <c r="F48" s="13"/>
      <c r="G48" s="13" t="s">
        <v>416</v>
      </c>
      <c r="H48" s="13" t="s">
        <v>512</v>
      </c>
      <c r="I48" s="14"/>
      <c r="J48" s="14"/>
      <c r="K48" s="14"/>
      <c r="L48" s="66">
        <v>1</v>
      </c>
      <c r="M48" s="24">
        <f>IFERROR(VLOOKUP(tblRiskRegister322[[#This Row],[Asset Class]],tblVCDBIndex[],4,FALSE),"")</f>
        <v>3</v>
      </c>
      <c r="N48" s="24">
        <f>IFERROR(VLOOKUP(10*tblRiskRegister322[[#This Row],[Safeguard Maturity Score]]+tblRiskRegister322[[#This Row],[VCDB Index]],tblHITIndexWeightTable[],4,FALSE),"")</f>
        <v>5</v>
      </c>
      <c r="O48" s="24">
        <f>VLOOKUP(tblRiskRegister322[[#This Row],[Asset Class]],tblInherentImpacts3046[],2,FALSE)</f>
        <v>3</v>
      </c>
      <c r="P48" s="24">
        <f>VLOOKUP(tblRiskRegister322[[#This Row],[Asset Class]],tblInherentImpacts3046[],3,FALSE)</f>
        <v>4</v>
      </c>
      <c r="Q48" s="24">
        <f>VLOOKUP(tblRiskRegister322[[#This Row],[Asset Class]],tblInherentImpacts3046[],4,FALSE)</f>
        <v>5</v>
      </c>
      <c r="R48" s="24">
        <f>VLOOKUP(tblRiskRegister322[[#This Row],[Asset Class]],tblInherentImpacts3046[],5,FALSE)</f>
        <v>2</v>
      </c>
      <c r="S48" s="24">
        <f>IFERROR(MAX(tblRiskRegister322[[#This Row],[Impact to Mission]:[Impact to Obligations]])*tblRiskRegister322[[#This Row],[Expectancy Score]],"")</f>
        <v>25</v>
      </c>
      <c r="T48" s="24">
        <f>tblRiskRegister322[[#This Row],[Risk Score]]</f>
        <v>25</v>
      </c>
      <c r="U48" s="13"/>
      <c r="V48" s="50">
        <v>3.1</v>
      </c>
      <c r="W48" s="15" t="s">
        <v>180</v>
      </c>
      <c r="X48" s="15" t="s">
        <v>303</v>
      </c>
      <c r="Y48" s="15"/>
      <c r="Z48" s="16"/>
      <c r="AA48" s="23" t="str">
        <f>IFERROR(VLOOKUP(10*tblRiskRegister322[[#This Row],[Risk Treatment Safeguard Maturity Score]]+tblRiskRegister322[[#This Row],[VCDB Index]],tblHITIndexWeightTable[],4,FALSE),"")</f>
        <v/>
      </c>
      <c r="AB48" s="65"/>
      <c r="AC48" s="65"/>
      <c r="AD48" s="65"/>
      <c r="AE48" s="65"/>
      <c r="AF48" s="23" t="str">
        <f>IFERROR(MAX(tblRiskRegister322[[#This Row],[Risk Treatment Safeguard Impact to Mission]:[Risk Treatment Safeguard Impact to Obligations]])*tblRiskRegister322[[#This Row],[Risk Treatment
Safeguard Expectancy Score]],"")</f>
        <v/>
      </c>
      <c r="AG48" s="23" t="str">
        <f>IF(tblRiskRegister322[[#This Row],[Risk Score]]&gt;AcceptableRisk1,IF(tblRiskRegister322[[#This Row],[Risk Treatment Safeguard Risk Score]]&lt;AcceptableRisk1, IF(tblRiskRegister322[[#This Row],[Risk Treatment Safeguard Risk Score]]&lt;=tblRiskRegister322[[#This Row],[Risk Score]],"Yes","No"),"No"),"Yes")</f>
        <v>No</v>
      </c>
      <c r="AH48" s="17"/>
      <c r="AI48" s="17"/>
      <c r="AJ48" s="18"/>
    </row>
    <row r="49" spans="2:36" ht="70">
      <c r="B49" s="15" t="s">
        <v>90</v>
      </c>
      <c r="C49" s="15"/>
      <c r="D49" s="13">
        <v>3.11</v>
      </c>
      <c r="E49" s="14" t="s">
        <v>181</v>
      </c>
      <c r="F49" s="13"/>
      <c r="G49" s="13" t="s">
        <v>416</v>
      </c>
      <c r="H49" s="13" t="s">
        <v>512</v>
      </c>
      <c r="I49" s="14"/>
      <c r="J49" s="14"/>
      <c r="K49" s="14"/>
      <c r="L49" s="66">
        <v>2</v>
      </c>
      <c r="M49" s="24">
        <f>IFERROR(VLOOKUP(tblRiskRegister322[[#This Row],[Asset Class]],tblVCDBIndex[],4,FALSE),"")</f>
        <v>3</v>
      </c>
      <c r="N49" s="24">
        <f>IFERROR(VLOOKUP(10*tblRiskRegister322[[#This Row],[Safeguard Maturity Score]]+tblRiskRegister322[[#This Row],[VCDB Index]],tblHITIndexWeightTable[],4,FALSE),"")</f>
        <v>4</v>
      </c>
      <c r="O49" s="24">
        <f>VLOOKUP(tblRiskRegister322[[#This Row],[Asset Class]],tblInherentImpacts3046[],2,FALSE)</f>
        <v>3</v>
      </c>
      <c r="P49" s="24">
        <f>VLOOKUP(tblRiskRegister322[[#This Row],[Asset Class]],tblInherentImpacts3046[],3,FALSE)</f>
        <v>4</v>
      </c>
      <c r="Q49" s="24">
        <f>VLOOKUP(tblRiskRegister322[[#This Row],[Asset Class]],tblInherentImpacts3046[],4,FALSE)</f>
        <v>5</v>
      </c>
      <c r="R49" s="24">
        <f>VLOOKUP(tblRiskRegister322[[#This Row],[Asset Class]],tblInherentImpacts3046[],5,FALSE)</f>
        <v>2</v>
      </c>
      <c r="S49" s="24">
        <f>IFERROR(MAX(tblRiskRegister322[[#This Row],[Impact to Mission]:[Impact to Obligations]])*tblRiskRegister322[[#This Row],[Expectancy Score]],"")</f>
        <v>20</v>
      </c>
      <c r="T49" s="24">
        <f>tblRiskRegister322[[#This Row],[Risk Score]]</f>
        <v>20</v>
      </c>
      <c r="U49" s="13"/>
      <c r="V49" s="50">
        <v>3.11</v>
      </c>
      <c r="W49" s="15" t="s">
        <v>181</v>
      </c>
      <c r="X49" s="15" t="s">
        <v>304</v>
      </c>
      <c r="Y49" s="15"/>
      <c r="Z49" s="16"/>
      <c r="AA49" s="23" t="str">
        <f>IFERROR(VLOOKUP(10*tblRiskRegister322[[#This Row],[Risk Treatment Safeguard Maturity Score]]+tblRiskRegister322[[#This Row],[VCDB Index]],tblHITIndexWeightTable[],4,FALSE),"")</f>
        <v/>
      </c>
      <c r="AB49" s="65"/>
      <c r="AC49" s="65"/>
      <c r="AD49" s="65"/>
      <c r="AE49" s="65"/>
      <c r="AF49" s="23" t="str">
        <f>IFERROR(MAX(tblRiskRegister322[[#This Row],[Risk Treatment Safeguard Impact to Mission]:[Risk Treatment Safeguard Impact to Obligations]])*tblRiskRegister322[[#This Row],[Risk Treatment
Safeguard Expectancy Score]],"")</f>
        <v/>
      </c>
      <c r="AG49" s="23" t="str">
        <f>IF(tblRiskRegister322[[#This Row],[Risk Score]]&gt;AcceptableRisk1,IF(tblRiskRegister322[[#This Row],[Risk Treatment Safeguard Risk Score]]&lt;AcceptableRisk1, IF(tblRiskRegister322[[#This Row],[Risk Treatment Safeguard Risk Score]]&lt;=tblRiskRegister322[[#This Row],[Risk Score]],"Yes","No"),"No"),"Yes")</f>
        <v>No</v>
      </c>
      <c r="AH49" s="17"/>
      <c r="AI49" s="17"/>
      <c r="AJ49" s="18"/>
    </row>
    <row r="50" spans="2:36" ht="56">
      <c r="B50" s="15" t="s">
        <v>90</v>
      </c>
      <c r="C50" s="15"/>
      <c r="D50" s="13">
        <v>11.1</v>
      </c>
      <c r="E50" s="14" t="s">
        <v>73</v>
      </c>
      <c r="F50" s="13" t="s">
        <v>416</v>
      </c>
      <c r="G50" s="13" t="s">
        <v>416</v>
      </c>
      <c r="H50" s="13" t="s">
        <v>514</v>
      </c>
      <c r="I50" s="14"/>
      <c r="J50" s="14"/>
      <c r="K50" s="14"/>
      <c r="L50" s="16"/>
      <c r="M50" s="24">
        <f>IFERROR(VLOOKUP(tblRiskRegister322[[#This Row],[Asset Class]],tblVCDBIndex[],4,FALSE),"")</f>
        <v>3</v>
      </c>
      <c r="N50" s="24" t="str">
        <f>IFERROR(VLOOKUP(10*tblRiskRegister322[[#This Row],[Safeguard Maturity Score]]+tblRiskRegister322[[#This Row],[VCDB Index]],tblHITIndexWeightTable[],4,FALSE),"")</f>
        <v/>
      </c>
      <c r="O50" s="24">
        <f>VLOOKUP(tblRiskRegister322[[#This Row],[Asset Class]],tblInherentImpacts3046[],2,FALSE)</f>
        <v>3</v>
      </c>
      <c r="P50" s="24">
        <f>VLOOKUP(tblRiskRegister322[[#This Row],[Asset Class]],tblInherentImpacts3046[],3,FALSE)</f>
        <v>4</v>
      </c>
      <c r="Q50" s="24">
        <f>VLOOKUP(tblRiskRegister322[[#This Row],[Asset Class]],tblInherentImpacts3046[],4,FALSE)</f>
        <v>5</v>
      </c>
      <c r="R50" s="24">
        <f>VLOOKUP(tblRiskRegister322[[#This Row],[Asset Class]],tblInherentImpacts3046[],5,FALSE)</f>
        <v>2</v>
      </c>
      <c r="S50" s="24" t="str">
        <f>IFERROR(MAX(tblRiskRegister322[[#This Row],[Impact to Mission]:[Impact to Obligations]])*tblRiskRegister322[[#This Row],[Expectancy Score]],"")</f>
        <v/>
      </c>
      <c r="T50" s="24" t="str">
        <f>tblRiskRegister322[[#This Row],[Risk Score]]</f>
        <v/>
      </c>
      <c r="U50" s="13"/>
      <c r="V50" s="50">
        <v>11.1</v>
      </c>
      <c r="W50" s="15" t="s">
        <v>73</v>
      </c>
      <c r="X50" s="15" t="s">
        <v>361</v>
      </c>
      <c r="Y50" s="15"/>
      <c r="Z50" s="16"/>
      <c r="AA50" s="23" t="str">
        <f>IFERROR(VLOOKUP(10*tblRiskRegister322[[#This Row],[Risk Treatment Safeguard Maturity Score]]+tblRiskRegister322[[#This Row],[VCDB Index]],tblHITIndexWeightTable[],4,FALSE),"")</f>
        <v/>
      </c>
      <c r="AB50" s="65"/>
      <c r="AC50" s="65"/>
      <c r="AD50" s="65"/>
      <c r="AE50" s="65"/>
      <c r="AF50" s="23" t="str">
        <f>IFERROR(MAX(tblRiskRegister322[[#This Row],[Risk Treatment Safeguard Impact to Mission]:[Risk Treatment Safeguard Impact to Obligations]])*tblRiskRegister322[[#This Row],[Risk Treatment
Safeguard Expectancy Score]],"")</f>
        <v/>
      </c>
      <c r="AG50" s="23" t="str">
        <f>IF(tblRiskRegister322[[#This Row],[Risk Score]]&gt;AcceptableRisk1,IF(tblRiskRegister322[[#This Row],[Risk Treatment Safeguard Risk Score]]&lt;AcceptableRisk1, IF(tblRiskRegister322[[#This Row],[Risk Treatment Safeguard Risk Score]]&lt;=tblRiskRegister322[[#This Row],[Risk Score]],"Yes","No"),"No"),"Yes")</f>
        <v>No</v>
      </c>
      <c r="AH50" s="17"/>
      <c r="AI50" s="17"/>
      <c r="AJ50" s="18"/>
    </row>
    <row r="51" spans="2:36" ht="28">
      <c r="B51" s="15" t="s">
        <v>90</v>
      </c>
      <c r="C51" s="15"/>
      <c r="D51" s="13">
        <v>11.2</v>
      </c>
      <c r="E51" s="14" t="s">
        <v>74</v>
      </c>
      <c r="F51" s="13" t="s">
        <v>416</v>
      </c>
      <c r="G51" s="13" t="s">
        <v>416</v>
      </c>
      <c r="H51" s="13" t="s">
        <v>514</v>
      </c>
      <c r="I51" s="14"/>
      <c r="J51" s="14"/>
      <c r="K51" s="14"/>
      <c r="L51" s="16"/>
      <c r="M51" s="24">
        <f>IFERROR(VLOOKUP(tblRiskRegister322[[#This Row],[Asset Class]],tblVCDBIndex[],4,FALSE),"")</f>
        <v>3</v>
      </c>
      <c r="N51" s="24" t="str">
        <f>IFERROR(VLOOKUP(10*tblRiskRegister322[[#This Row],[Safeguard Maturity Score]]+tblRiskRegister322[[#This Row],[VCDB Index]],tblHITIndexWeightTable[],4,FALSE),"")</f>
        <v/>
      </c>
      <c r="O51" s="24">
        <f>VLOOKUP(tblRiskRegister322[[#This Row],[Asset Class]],tblInherentImpacts3046[],2,FALSE)</f>
        <v>3</v>
      </c>
      <c r="P51" s="24">
        <f>VLOOKUP(tblRiskRegister322[[#This Row],[Asset Class]],tblInherentImpacts3046[],3,FALSE)</f>
        <v>4</v>
      </c>
      <c r="Q51" s="24">
        <f>VLOOKUP(tblRiskRegister322[[#This Row],[Asset Class]],tblInherentImpacts3046[],4,FALSE)</f>
        <v>5</v>
      </c>
      <c r="R51" s="24">
        <f>VLOOKUP(tblRiskRegister322[[#This Row],[Asset Class]],tblInherentImpacts3046[],5,FALSE)</f>
        <v>2</v>
      </c>
      <c r="S51" s="24" t="str">
        <f>IFERROR(MAX(tblRiskRegister322[[#This Row],[Impact to Mission]:[Impact to Obligations]])*tblRiskRegister322[[#This Row],[Expectancy Score]],"")</f>
        <v/>
      </c>
      <c r="T51" s="24" t="str">
        <f>tblRiskRegister322[[#This Row],[Risk Score]]</f>
        <v/>
      </c>
      <c r="U51" s="13"/>
      <c r="V51" s="50">
        <v>11.2</v>
      </c>
      <c r="W51" s="15" t="s">
        <v>74</v>
      </c>
      <c r="X51" s="15" t="s">
        <v>362</v>
      </c>
      <c r="Y51" s="15"/>
      <c r="Z51" s="16"/>
      <c r="AA51" s="23" t="str">
        <f>IFERROR(VLOOKUP(10*tblRiskRegister322[[#This Row],[Risk Treatment Safeguard Maturity Score]]+tblRiskRegister322[[#This Row],[VCDB Index]],tblHITIndexWeightTable[],4,FALSE),"")</f>
        <v/>
      </c>
      <c r="AB51" s="65"/>
      <c r="AC51" s="65"/>
      <c r="AD51" s="65"/>
      <c r="AE51" s="65"/>
      <c r="AF51" s="23" t="str">
        <f>IFERROR(MAX(tblRiskRegister322[[#This Row],[Risk Treatment Safeguard Impact to Mission]:[Risk Treatment Safeguard Impact to Obligations]])*tblRiskRegister322[[#This Row],[Risk Treatment
Safeguard Expectancy Score]],"")</f>
        <v/>
      </c>
      <c r="AG51" s="23" t="str">
        <f>IF(tblRiskRegister322[[#This Row],[Risk Score]]&gt;AcceptableRisk1,IF(tblRiskRegister322[[#This Row],[Risk Treatment Safeguard Risk Score]]&lt;AcceptableRisk1, IF(tblRiskRegister322[[#This Row],[Risk Treatment Safeguard Risk Score]]&lt;=tblRiskRegister322[[#This Row],[Risk Score]],"Yes","No"),"No"),"Yes")</f>
        <v>No</v>
      </c>
      <c r="AH51" s="17"/>
      <c r="AI51" s="17"/>
      <c r="AJ51" s="18"/>
    </row>
    <row r="52" spans="2:36" ht="28">
      <c r="B52" s="15" t="s">
        <v>90</v>
      </c>
      <c r="C52" s="15"/>
      <c r="D52" s="13">
        <v>11.3</v>
      </c>
      <c r="E52" s="14" t="s">
        <v>75</v>
      </c>
      <c r="F52" s="13" t="s">
        <v>416</v>
      </c>
      <c r="G52" s="13" t="s">
        <v>416</v>
      </c>
      <c r="H52" s="13" t="s">
        <v>512</v>
      </c>
      <c r="I52" s="14"/>
      <c r="J52" s="14"/>
      <c r="K52" s="14"/>
      <c r="L52" s="16"/>
      <c r="M52" s="24">
        <f>IFERROR(VLOOKUP(tblRiskRegister322[[#This Row],[Asset Class]],tblVCDBIndex[],4,FALSE),"")</f>
        <v>3</v>
      </c>
      <c r="N52" s="24" t="str">
        <f>IFERROR(VLOOKUP(10*tblRiskRegister322[[#This Row],[Safeguard Maturity Score]]+tblRiskRegister322[[#This Row],[VCDB Index]],tblHITIndexWeightTable[],4,FALSE),"")</f>
        <v/>
      </c>
      <c r="O52" s="24">
        <f>VLOOKUP(tblRiskRegister322[[#This Row],[Asset Class]],tblInherentImpacts3046[],2,FALSE)</f>
        <v>3</v>
      </c>
      <c r="P52" s="24">
        <f>VLOOKUP(tblRiskRegister322[[#This Row],[Asset Class]],tblInherentImpacts3046[],3,FALSE)</f>
        <v>4</v>
      </c>
      <c r="Q52" s="24">
        <f>VLOOKUP(tblRiskRegister322[[#This Row],[Asset Class]],tblInherentImpacts3046[],4,FALSE)</f>
        <v>5</v>
      </c>
      <c r="R52" s="24">
        <f>VLOOKUP(tblRiskRegister322[[#This Row],[Asset Class]],tblInherentImpacts3046[],5,FALSE)</f>
        <v>2</v>
      </c>
      <c r="S52" s="24" t="str">
        <f>IFERROR(MAX(tblRiskRegister322[[#This Row],[Impact to Mission]:[Impact to Obligations]])*tblRiskRegister322[[#This Row],[Expectancy Score]],"")</f>
        <v/>
      </c>
      <c r="T52" s="24" t="str">
        <f>tblRiskRegister322[[#This Row],[Risk Score]]</f>
        <v/>
      </c>
      <c r="U52" s="13"/>
      <c r="V52" s="50">
        <v>11.3</v>
      </c>
      <c r="W52" s="15" t="s">
        <v>75</v>
      </c>
      <c r="X52" s="15" t="s">
        <v>363</v>
      </c>
      <c r="Y52" s="15"/>
      <c r="Z52" s="16"/>
      <c r="AA52" s="23" t="str">
        <f>IFERROR(VLOOKUP(10*tblRiskRegister322[[#This Row],[Risk Treatment Safeguard Maturity Score]]+tblRiskRegister322[[#This Row],[VCDB Index]],tblHITIndexWeightTable[],4,FALSE),"")</f>
        <v/>
      </c>
      <c r="AB52" s="65"/>
      <c r="AC52" s="65"/>
      <c r="AD52" s="65"/>
      <c r="AE52" s="65"/>
      <c r="AF52" s="23" t="str">
        <f>IFERROR(MAX(tblRiskRegister322[[#This Row],[Risk Treatment Safeguard Impact to Mission]:[Risk Treatment Safeguard Impact to Obligations]])*tblRiskRegister322[[#This Row],[Risk Treatment
Safeguard Expectancy Score]],"")</f>
        <v/>
      </c>
      <c r="AG52" s="23" t="str">
        <f>IF(tblRiskRegister322[[#This Row],[Risk Score]]&gt;AcceptableRisk1,IF(tblRiskRegister322[[#This Row],[Risk Treatment Safeguard Risk Score]]&lt;AcceptableRisk1, IF(tblRiskRegister322[[#This Row],[Risk Treatment Safeguard Risk Score]]&lt;=tblRiskRegister322[[#This Row],[Risk Score]],"Yes","No"),"No"),"Yes")</f>
        <v>No</v>
      </c>
      <c r="AH52" s="17"/>
      <c r="AI52" s="17"/>
      <c r="AJ52" s="18"/>
    </row>
    <row r="53" spans="2:36" ht="28">
      <c r="B53" s="15" t="s">
        <v>90</v>
      </c>
      <c r="C53" s="15"/>
      <c r="D53" s="13">
        <v>11.4</v>
      </c>
      <c r="E53" s="14" t="s">
        <v>76</v>
      </c>
      <c r="F53" s="13" t="s">
        <v>416</v>
      </c>
      <c r="G53" s="13" t="s">
        <v>416</v>
      </c>
      <c r="H53" s="13" t="s">
        <v>514</v>
      </c>
      <c r="I53" s="14"/>
      <c r="J53" s="14"/>
      <c r="K53" s="14"/>
      <c r="L53" s="16"/>
      <c r="M53" s="24">
        <f>IFERROR(VLOOKUP(tblRiskRegister322[[#This Row],[Asset Class]],tblVCDBIndex[],4,FALSE),"")</f>
        <v>3</v>
      </c>
      <c r="N53" s="24" t="str">
        <f>IFERROR(VLOOKUP(10*tblRiskRegister322[[#This Row],[Safeguard Maturity Score]]+tblRiskRegister322[[#This Row],[VCDB Index]],tblHITIndexWeightTable[],4,FALSE),"")</f>
        <v/>
      </c>
      <c r="O53" s="24">
        <f>VLOOKUP(tblRiskRegister322[[#This Row],[Asset Class]],tblInherentImpacts3046[],2,FALSE)</f>
        <v>3</v>
      </c>
      <c r="P53" s="24">
        <f>VLOOKUP(tblRiskRegister322[[#This Row],[Asset Class]],tblInherentImpacts3046[],3,FALSE)</f>
        <v>4</v>
      </c>
      <c r="Q53" s="24">
        <f>VLOOKUP(tblRiskRegister322[[#This Row],[Asset Class]],tblInherentImpacts3046[],4,FALSE)</f>
        <v>5</v>
      </c>
      <c r="R53" s="24">
        <f>VLOOKUP(tblRiskRegister322[[#This Row],[Asset Class]],tblInherentImpacts3046[],5,FALSE)</f>
        <v>2</v>
      </c>
      <c r="S53" s="24" t="str">
        <f>IFERROR(MAX(tblRiskRegister322[[#This Row],[Impact to Mission]:[Impact to Obligations]])*tblRiskRegister322[[#This Row],[Expectancy Score]],"")</f>
        <v/>
      </c>
      <c r="T53" s="24" t="str">
        <f>tblRiskRegister322[[#This Row],[Risk Score]]</f>
        <v/>
      </c>
      <c r="U53" s="13"/>
      <c r="V53" s="50">
        <v>11.4</v>
      </c>
      <c r="W53" s="15" t="s">
        <v>76</v>
      </c>
      <c r="X53" s="15" t="s">
        <v>364</v>
      </c>
      <c r="Y53" s="15"/>
      <c r="Z53" s="16"/>
      <c r="AA53" s="23" t="str">
        <f>IFERROR(VLOOKUP(10*tblRiskRegister322[[#This Row],[Risk Treatment Safeguard Maturity Score]]+tblRiskRegister322[[#This Row],[VCDB Index]],tblHITIndexWeightTable[],4,FALSE),"")</f>
        <v/>
      </c>
      <c r="AB53" s="65"/>
      <c r="AC53" s="65"/>
      <c r="AD53" s="65"/>
      <c r="AE53" s="65"/>
      <c r="AF53" s="23" t="str">
        <f>IFERROR(MAX(tblRiskRegister322[[#This Row],[Risk Treatment Safeguard Impact to Mission]:[Risk Treatment Safeguard Impact to Obligations]])*tblRiskRegister322[[#This Row],[Risk Treatment
Safeguard Expectancy Score]],"")</f>
        <v/>
      </c>
      <c r="AG53" s="23" t="str">
        <f>IF(tblRiskRegister322[[#This Row],[Risk Score]]&gt;AcceptableRisk1,IF(tblRiskRegister322[[#This Row],[Risk Treatment Safeguard Risk Score]]&lt;AcceptableRisk1, IF(tblRiskRegister322[[#This Row],[Risk Treatment Safeguard Risk Score]]&lt;=tblRiskRegister322[[#This Row],[Risk Score]],"Yes","No"),"No"),"Yes")</f>
        <v>No</v>
      </c>
      <c r="AH53" s="17"/>
      <c r="AI53" s="17"/>
      <c r="AJ53" s="18"/>
    </row>
    <row r="54" spans="2:36" ht="14">
      <c r="B54" s="15" t="s">
        <v>90</v>
      </c>
      <c r="C54" s="15"/>
      <c r="D54" s="13">
        <v>11.5</v>
      </c>
      <c r="E54" s="14" t="s">
        <v>182</v>
      </c>
      <c r="F54" s="13"/>
      <c r="G54" s="13" t="s">
        <v>416</v>
      </c>
      <c r="H54" s="13" t="s">
        <v>514</v>
      </c>
      <c r="I54" s="14"/>
      <c r="J54" s="14"/>
      <c r="K54" s="14"/>
      <c r="L54" s="16"/>
      <c r="M54" s="24">
        <f>IFERROR(VLOOKUP(tblRiskRegister322[[#This Row],[Asset Class]],tblVCDBIndex[],4,FALSE),"")</f>
        <v>3</v>
      </c>
      <c r="N54" s="24" t="str">
        <f>IFERROR(VLOOKUP(10*tblRiskRegister322[[#This Row],[Safeguard Maturity Score]]+tblRiskRegister322[[#This Row],[VCDB Index]],tblHITIndexWeightTable[],4,FALSE),"")</f>
        <v/>
      </c>
      <c r="O54" s="24">
        <f>VLOOKUP(tblRiskRegister322[[#This Row],[Asset Class]],tblInherentImpacts3046[],2,FALSE)</f>
        <v>3</v>
      </c>
      <c r="P54" s="24">
        <f>VLOOKUP(tblRiskRegister322[[#This Row],[Asset Class]],tblInherentImpacts3046[],3,FALSE)</f>
        <v>4</v>
      </c>
      <c r="Q54" s="24">
        <f>VLOOKUP(tblRiskRegister322[[#This Row],[Asset Class]],tblInherentImpacts3046[],4,FALSE)</f>
        <v>5</v>
      </c>
      <c r="R54" s="24">
        <f>VLOOKUP(tblRiskRegister322[[#This Row],[Asset Class]],tblInherentImpacts3046[],5,FALSE)</f>
        <v>2</v>
      </c>
      <c r="S54" s="24" t="str">
        <f>IFERROR(MAX(tblRiskRegister322[[#This Row],[Impact to Mission]:[Impact to Obligations]])*tblRiskRegister322[[#This Row],[Expectancy Score]],"")</f>
        <v/>
      </c>
      <c r="T54" s="24" t="str">
        <f>tblRiskRegister322[[#This Row],[Risk Score]]</f>
        <v/>
      </c>
      <c r="U54" s="13"/>
      <c r="V54" s="50">
        <v>11.5</v>
      </c>
      <c r="W54" s="15" t="s">
        <v>182</v>
      </c>
      <c r="X54" s="15" t="s">
        <v>365</v>
      </c>
      <c r="Y54" s="15"/>
      <c r="Z54" s="16"/>
      <c r="AA54" s="23" t="str">
        <f>IFERROR(VLOOKUP(10*tblRiskRegister322[[#This Row],[Risk Treatment Safeguard Maturity Score]]+tblRiskRegister322[[#This Row],[VCDB Index]],tblHITIndexWeightTable[],4,FALSE),"")</f>
        <v/>
      </c>
      <c r="AB54" s="65"/>
      <c r="AC54" s="65"/>
      <c r="AD54" s="65"/>
      <c r="AE54" s="65"/>
      <c r="AF54" s="23" t="str">
        <f>IFERROR(MAX(tblRiskRegister322[[#This Row],[Risk Treatment Safeguard Impact to Mission]:[Risk Treatment Safeguard Impact to Obligations]])*tblRiskRegister322[[#This Row],[Risk Treatment
Safeguard Expectancy Score]],"")</f>
        <v/>
      </c>
      <c r="AG54" s="23" t="str">
        <f>IF(tblRiskRegister322[[#This Row],[Risk Score]]&gt;AcceptableRisk1,IF(tblRiskRegister322[[#This Row],[Risk Treatment Safeguard Risk Score]]&lt;AcceptableRisk1, IF(tblRiskRegister322[[#This Row],[Risk Treatment Safeguard Risk Score]]&lt;=tblRiskRegister322[[#This Row],[Risk Score]],"Yes","No"),"No"),"Yes")</f>
        <v>No</v>
      </c>
      <c r="AH54" s="17"/>
      <c r="AI54" s="17"/>
      <c r="AJ54" s="18"/>
    </row>
    <row r="55" spans="2:36" ht="154">
      <c r="B55" s="15" t="s">
        <v>91</v>
      </c>
      <c r="C55" s="15"/>
      <c r="D55" s="13">
        <v>1.1000000000000001</v>
      </c>
      <c r="E55" s="14" t="s">
        <v>38</v>
      </c>
      <c r="F55" s="13" t="s">
        <v>416</v>
      </c>
      <c r="G55" s="13" t="s">
        <v>416</v>
      </c>
      <c r="H55" s="13" t="s">
        <v>510</v>
      </c>
      <c r="I55" s="14"/>
      <c r="J55" s="14"/>
      <c r="K55" s="14"/>
      <c r="L55" s="66">
        <v>5</v>
      </c>
      <c r="M55" s="24">
        <f>IFERROR(VLOOKUP(tblRiskRegister322[[#This Row],[Asset Class]],tblVCDBIndex[],4,FALSE),"")</f>
        <v>1</v>
      </c>
      <c r="N55" s="24">
        <f>IFERROR(VLOOKUP(10*tblRiskRegister322[[#This Row],[Safeguard Maturity Score]]+tblRiskRegister322[[#This Row],[VCDB Index]],tblHITIndexWeightTable[],4,FALSE),"")</f>
        <v>1</v>
      </c>
      <c r="O55" s="24">
        <f>VLOOKUP(tblRiskRegister322[[#This Row],[Asset Class]],tblInherentImpacts3046[],2,FALSE)</f>
        <v>2</v>
      </c>
      <c r="P55" s="24">
        <f>VLOOKUP(tblRiskRegister322[[#This Row],[Asset Class]],tblInherentImpacts3046[],3,FALSE)</f>
        <v>1</v>
      </c>
      <c r="Q55" s="24">
        <f>VLOOKUP(tblRiskRegister322[[#This Row],[Asset Class]],tblInherentImpacts3046[],4,FALSE)</f>
        <v>3</v>
      </c>
      <c r="R55" s="24">
        <f>VLOOKUP(tblRiskRegister322[[#This Row],[Asset Class]],tblInherentImpacts3046[],5,FALSE)</f>
        <v>3</v>
      </c>
      <c r="S55" s="24">
        <f>IFERROR(MAX(tblRiskRegister322[[#This Row],[Impact to Mission]:[Impact to Obligations]])*tblRiskRegister322[[#This Row],[Expectancy Score]],"")</f>
        <v>3</v>
      </c>
      <c r="T55" s="24">
        <f>tblRiskRegister322[[#This Row],[Risk Score]]</f>
        <v>3</v>
      </c>
      <c r="U55" s="13"/>
      <c r="V55" s="50">
        <v>1.1000000000000001</v>
      </c>
      <c r="W55" s="15" t="s">
        <v>38</v>
      </c>
      <c r="X55" s="15" t="s">
        <v>284</v>
      </c>
      <c r="Y55" s="15"/>
      <c r="Z55" s="16"/>
      <c r="AA55" s="23" t="str">
        <f>IFERROR(VLOOKUP(10*tblRiskRegister322[[#This Row],[Risk Treatment Safeguard Maturity Score]]+tblRiskRegister322[[#This Row],[VCDB Index]],tblHITIndexWeightTable[],4,FALSE),"")</f>
        <v/>
      </c>
      <c r="AB55" s="65"/>
      <c r="AC55" s="65"/>
      <c r="AD55" s="65"/>
      <c r="AE55" s="65"/>
      <c r="AF55" s="23" t="str">
        <f>IFERROR(MAX(tblRiskRegister322[[#This Row],[Risk Treatment Safeguard Impact to Mission]:[Risk Treatment Safeguard Impact to Obligations]])*tblRiskRegister322[[#This Row],[Risk Treatment
Safeguard Expectancy Score]],"")</f>
        <v/>
      </c>
      <c r="AG55" s="23" t="str">
        <f>IF(tblRiskRegister322[[#This Row],[Risk Score]]&gt;AcceptableRisk1,IF(tblRiskRegister322[[#This Row],[Risk Treatment Safeguard Risk Score]]&lt;AcceptableRisk1, IF(tblRiskRegister322[[#This Row],[Risk Treatment Safeguard Risk Score]]&lt;=tblRiskRegister322[[#This Row],[Risk Score]],"Yes","No"),"No"),"Yes")</f>
        <v>Yes</v>
      </c>
      <c r="AH55" s="17"/>
      <c r="AI55" s="17"/>
      <c r="AJ55" s="18"/>
    </row>
    <row r="56" spans="2:36" ht="42">
      <c r="B56" s="15" t="s">
        <v>91</v>
      </c>
      <c r="C56" s="15"/>
      <c r="D56" s="13">
        <v>1.2</v>
      </c>
      <c r="E56" s="14" t="s">
        <v>13</v>
      </c>
      <c r="F56" s="13" t="s">
        <v>416</v>
      </c>
      <c r="G56" s="13" t="s">
        <v>416</v>
      </c>
      <c r="H56" s="13" t="s">
        <v>511</v>
      </c>
      <c r="I56" s="14"/>
      <c r="J56" s="14"/>
      <c r="K56" s="14"/>
      <c r="L56" s="66">
        <v>3</v>
      </c>
      <c r="M56" s="24">
        <f>IFERROR(VLOOKUP(tblRiskRegister322[[#This Row],[Asset Class]],tblVCDBIndex[],4,FALSE),"")</f>
        <v>1</v>
      </c>
      <c r="N56" s="24">
        <f>IFERROR(VLOOKUP(10*tblRiskRegister322[[#This Row],[Safeguard Maturity Score]]+tblRiskRegister322[[#This Row],[VCDB Index]],tblHITIndexWeightTable[],4,FALSE),"")</f>
        <v>1</v>
      </c>
      <c r="O56" s="24">
        <f>VLOOKUP(tblRiskRegister322[[#This Row],[Asset Class]],tblInherentImpacts3046[],2,FALSE)</f>
        <v>2</v>
      </c>
      <c r="P56" s="24">
        <f>VLOOKUP(tblRiskRegister322[[#This Row],[Asset Class]],tblInherentImpacts3046[],3,FALSE)</f>
        <v>1</v>
      </c>
      <c r="Q56" s="24">
        <f>VLOOKUP(tblRiskRegister322[[#This Row],[Asset Class]],tblInherentImpacts3046[],4,FALSE)</f>
        <v>3</v>
      </c>
      <c r="R56" s="24">
        <f>VLOOKUP(tblRiskRegister322[[#This Row],[Asset Class]],tblInherentImpacts3046[],5,FALSE)</f>
        <v>3</v>
      </c>
      <c r="S56" s="24">
        <f>IFERROR(MAX(tblRiskRegister322[[#This Row],[Impact to Mission]:[Impact to Obligations]])*tblRiskRegister322[[#This Row],[Expectancy Score]],"")</f>
        <v>3</v>
      </c>
      <c r="T56" s="24">
        <f>tblRiskRegister322[[#This Row],[Risk Score]]</f>
        <v>3</v>
      </c>
      <c r="U56" s="13"/>
      <c r="V56" s="50">
        <v>1.2</v>
      </c>
      <c r="W56" s="15" t="s">
        <v>13</v>
      </c>
      <c r="X56" s="15" t="s">
        <v>285</v>
      </c>
      <c r="Y56" s="26"/>
      <c r="Z56" s="16"/>
      <c r="AA56" s="23" t="str">
        <f>IFERROR(VLOOKUP(10*tblRiskRegister322[[#This Row],[Risk Treatment Safeguard Maturity Score]]+tblRiskRegister322[[#This Row],[VCDB Index]],tblHITIndexWeightTable[],4,FALSE),"")</f>
        <v/>
      </c>
      <c r="AB56" s="65"/>
      <c r="AC56" s="65"/>
      <c r="AD56" s="65"/>
      <c r="AE56" s="65"/>
      <c r="AF56" s="23" t="str">
        <f>IFERROR(MAX(tblRiskRegister322[[#This Row],[Risk Treatment Safeguard Impact to Mission]:[Risk Treatment Safeguard Impact to Obligations]])*tblRiskRegister322[[#This Row],[Risk Treatment
Safeguard Expectancy Score]],"")</f>
        <v/>
      </c>
      <c r="AG56" s="23" t="str">
        <f>IF(tblRiskRegister322[[#This Row],[Risk Score]]&gt;AcceptableRisk1,IF(tblRiskRegister322[[#This Row],[Risk Treatment Safeguard Risk Score]]&lt;AcceptableRisk1, IF(tblRiskRegister322[[#This Row],[Risk Treatment Safeguard Risk Score]]&lt;=tblRiskRegister322[[#This Row],[Risk Score]],"Yes","No"),"No"),"Yes")</f>
        <v>Yes</v>
      </c>
      <c r="AH56" s="17"/>
      <c r="AI56" s="17"/>
      <c r="AJ56" s="18"/>
    </row>
    <row r="57" spans="2:36" ht="28">
      <c r="B57" s="15" t="s">
        <v>91</v>
      </c>
      <c r="C57" s="15"/>
      <c r="D57" s="13">
        <v>1.3</v>
      </c>
      <c r="E57" s="14" t="s">
        <v>183</v>
      </c>
      <c r="F57" s="13"/>
      <c r="G57" s="13" t="s">
        <v>416</v>
      </c>
      <c r="H57" s="13" t="s">
        <v>513</v>
      </c>
      <c r="I57" s="14"/>
      <c r="J57" s="14"/>
      <c r="K57" s="14"/>
      <c r="L57" s="66">
        <v>2</v>
      </c>
      <c r="M57" s="24">
        <f>IFERROR(VLOOKUP(tblRiskRegister322[[#This Row],[Asset Class]],tblVCDBIndex[],4,FALSE),"")</f>
        <v>1</v>
      </c>
      <c r="N57" s="24">
        <f>IFERROR(VLOOKUP(10*tblRiskRegister322[[#This Row],[Safeguard Maturity Score]]+tblRiskRegister322[[#This Row],[VCDB Index]],tblHITIndexWeightTable[],4,FALSE),"")</f>
        <v>3</v>
      </c>
      <c r="O57" s="24">
        <f>VLOOKUP(tblRiskRegister322[[#This Row],[Asset Class]],tblInherentImpacts3046[],2,FALSE)</f>
        <v>2</v>
      </c>
      <c r="P57" s="24">
        <f>VLOOKUP(tblRiskRegister322[[#This Row],[Asset Class]],tblInherentImpacts3046[],3,FALSE)</f>
        <v>1</v>
      </c>
      <c r="Q57" s="24">
        <f>VLOOKUP(tblRiskRegister322[[#This Row],[Asset Class]],tblInherentImpacts3046[],4,FALSE)</f>
        <v>3</v>
      </c>
      <c r="R57" s="24">
        <f>VLOOKUP(tblRiskRegister322[[#This Row],[Asset Class]],tblInherentImpacts3046[],5,FALSE)</f>
        <v>3</v>
      </c>
      <c r="S57" s="24">
        <f>IFERROR(MAX(tblRiskRegister322[[#This Row],[Impact to Mission]:[Impact to Obligations]])*tblRiskRegister322[[#This Row],[Expectancy Score]],"")</f>
        <v>9</v>
      </c>
      <c r="T57" s="24">
        <f>tblRiskRegister322[[#This Row],[Risk Score]]</f>
        <v>9</v>
      </c>
      <c r="U57" s="13"/>
      <c r="V57" s="50">
        <v>1.3</v>
      </c>
      <c r="W57" s="15" t="s">
        <v>183</v>
      </c>
      <c r="X57" s="15" t="s">
        <v>286</v>
      </c>
      <c r="Y57" s="26"/>
      <c r="Z57" s="16"/>
      <c r="AA57" s="23" t="str">
        <f>IFERROR(VLOOKUP(10*tblRiskRegister322[[#This Row],[Risk Treatment Safeguard Maturity Score]]+tblRiskRegister322[[#This Row],[VCDB Index]],tblHITIndexWeightTable[],4,FALSE),"")</f>
        <v/>
      </c>
      <c r="AB57" s="65"/>
      <c r="AC57" s="65"/>
      <c r="AD57" s="65"/>
      <c r="AE57" s="65"/>
      <c r="AF57" s="23" t="str">
        <f>IFERROR(MAX(tblRiskRegister322[[#This Row],[Risk Treatment Safeguard Impact to Mission]:[Risk Treatment Safeguard Impact to Obligations]])*tblRiskRegister322[[#This Row],[Risk Treatment
Safeguard Expectancy Score]],"")</f>
        <v/>
      </c>
      <c r="AG57" s="23" t="str">
        <f>IF(tblRiskRegister322[[#This Row],[Risk Score]]&gt;AcceptableRisk1,IF(tblRiskRegister322[[#This Row],[Risk Treatment Safeguard Risk Score]]&lt;AcceptableRisk1, IF(tblRiskRegister322[[#This Row],[Risk Treatment Safeguard Risk Score]]&lt;=tblRiskRegister322[[#This Row],[Risk Score]],"Yes","No"),"No"),"Yes")</f>
        <v>Yes</v>
      </c>
      <c r="AH57" s="17"/>
      <c r="AI57" s="17"/>
      <c r="AJ57" s="18"/>
    </row>
    <row r="58" spans="2:36" ht="42">
      <c r="B58" s="15" t="s">
        <v>91</v>
      </c>
      <c r="C58" s="15"/>
      <c r="D58" s="13">
        <v>1.4</v>
      </c>
      <c r="E58" s="14" t="s">
        <v>184</v>
      </c>
      <c r="F58" s="13"/>
      <c r="G58" s="13" t="s">
        <v>416</v>
      </c>
      <c r="H58" s="13" t="s">
        <v>510</v>
      </c>
      <c r="I58" s="14"/>
      <c r="J58" s="14"/>
      <c r="K58" s="14"/>
      <c r="L58" s="66">
        <v>4</v>
      </c>
      <c r="M58" s="24">
        <f>IFERROR(VLOOKUP(tblRiskRegister322[[#This Row],[Asset Class]],tblVCDBIndex[],4,FALSE),"")</f>
        <v>1</v>
      </c>
      <c r="N58" s="24">
        <f>IFERROR(VLOOKUP(10*tblRiskRegister322[[#This Row],[Safeguard Maturity Score]]+tblRiskRegister322[[#This Row],[VCDB Index]],tblHITIndexWeightTable[],4,FALSE),"")</f>
        <v>1</v>
      </c>
      <c r="O58" s="24">
        <f>VLOOKUP(tblRiskRegister322[[#This Row],[Asset Class]],tblInherentImpacts3046[],2,FALSE)</f>
        <v>2</v>
      </c>
      <c r="P58" s="24">
        <f>VLOOKUP(tblRiskRegister322[[#This Row],[Asset Class]],tblInherentImpacts3046[],3,FALSE)</f>
        <v>1</v>
      </c>
      <c r="Q58" s="24">
        <f>VLOOKUP(tblRiskRegister322[[#This Row],[Asset Class]],tblInherentImpacts3046[],4,FALSE)</f>
        <v>3</v>
      </c>
      <c r="R58" s="24">
        <f>VLOOKUP(tblRiskRegister322[[#This Row],[Asset Class]],tblInherentImpacts3046[],5,FALSE)</f>
        <v>3</v>
      </c>
      <c r="S58" s="24">
        <f>IFERROR(MAX(tblRiskRegister322[[#This Row],[Impact to Mission]:[Impact to Obligations]])*tblRiskRegister322[[#This Row],[Expectancy Score]],"")</f>
        <v>3</v>
      </c>
      <c r="T58" s="24">
        <f>tblRiskRegister322[[#This Row],[Risk Score]]</f>
        <v>3</v>
      </c>
      <c r="U58" s="13"/>
      <c r="V58" s="50">
        <v>1.4</v>
      </c>
      <c r="W58" s="15" t="s">
        <v>184</v>
      </c>
      <c r="X58" s="15" t="s">
        <v>287</v>
      </c>
      <c r="Y58" s="26"/>
      <c r="Z58" s="16"/>
      <c r="AA58" s="23" t="str">
        <f>IFERROR(VLOOKUP(10*tblRiskRegister322[[#This Row],[Risk Treatment Safeguard Maturity Score]]+tblRiskRegister322[[#This Row],[VCDB Index]],tblHITIndexWeightTable[],4,FALSE),"")</f>
        <v/>
      </c>
      <c r="AB58" s="65"/>
      <c r="AC58" s="65"/>
      <c r="AD58" s="65"/>
      <c r="AE58" s="65"/>
      <c r="AF58" s="23" t="str">
        <f>IFERROR(MAX(tblRiskRegister322[[#This Row],[Risk Treatment Safeguard Impact to Mission]:[Risk Treatment Safeguard Impact to Obligations]])*tblRiskRegister322[[#This Row],[Risk Treatment
Safeguard Expectancy Score]],"")</f>
        <v/>
      </c>
      <c r="AG58" s="23" t="str">
        <f>IF(tblRiskRegister322[[#This Row],[Risk Score]]&gt;AcceptableRisk1,IF(tblRiskRegister322[[#This Row],[Risk Treatment Safeguard Risk Score]]&lt;AcceptableRisk1, IF(tblRiskRegister322[[#This Row],[Risk Treatment Safeguard Risk Score]]&lt;=tblRiskRegister322[[#This Row],[Risk Score]],"Yes","No"),"No"),"Yes")</f>
        <v>Yes</v>
      </c>
      <c r="AH58" s="17"/>
      <c r="AI58" s="17"/>
      <c r="AJ58" s="18"/>
    </row>
    <row r="59" spans="2:36" ht="28">
      <c r="B59" s="15" t="s">
        <v>91</v>
      </c>
      <c r="C59" s="15"/>
      <c r="D59" s="13">
        <v>3.6</v>
      </c>
      <c r="E59" s="14" t="s">
        <v>47</v>
      </c>
      <c r="F59" s="13" t="s">
        <v>416</v>
      </c>
      <c r="G59" s="13" t="s">
        <v>416</v>
      </c>
      <c r="H59" s="13" t="s">
        <v>512</v>
      </c>
      <c r="I59" s="14"/>
      <c r="J59" s="14"/>
      <c r="K59" s="14"/>
      <c r="L59" s="66">
        <v>3</v>
      </c>
      <c r="M59" s="24">
        <f>IFERROR(VLOOKUP(tblRiskRegister322[[#This Row],[Asset Class]],tblVCDBIndex[],4,FALSE),"")</f>
        <v>1</v>
      </c>
      <c r="N59" s="24">
        <f>IFERROR(VLOOKUP(10*tblRiskRegister322[[#This Row],[Safeguard Maturity Score]]+tblRiskRegister322[[#This Row],[VCDB Index]],tblHITIndexWeightTable[],4,FALSE),"")</f>
        <v>1</v>
      </c>
      <c r="O59" s="24">
        <f>VLOOKUP(tblRiskRegister322[[#This Row],[Asset Class]],tblInherentImpacts3046[],2,FALSE)</f>
        <v>2</v>
      </c>
      <c r="P59" s="24">
        <f>VLOOKUP(tblRiskRegister322[[#This Row],[Asset Class]],tblInherentImpacts3046[],3,FALSE)</f>
        <v>1</v>
      </c>
      <c r="Q59" s="24">
        <f>VLOOKUP(tblRiskRegister322[[#This Row],[Asset Class]],tblInherentImpacts3046[],4,FALSE)</f>
        <v>3</v>
      </c>
      <c r="R59" s="24">
        <f>VLOOKUP(tblRiskRegister322[[#This Row],[Asset Class]],tblInherentImpacts3046[],5,FALSE)</f>
        <v>3</v>
      </c>
      <c r="S59" s="24">
        <f>IFERROR(MAX(tblRiskRegister322[[#This Row],[Impact to Mission]:[Impact to Obligations]])*tblRiskRegister322[[#This Row],[Expectancy Score]],"")</f>
        <v>3</v>
      </c>
      <c r="T59" s="24">
        <f>tblRiskRegister322[[#This Row],[Risk Score]]</f>
        <v>3</v>
      </c>
      <c r="U59" s="13"/>
      <c r="V59" s="50">
        <v>3.6</v>
      </c>
      <c r="W59" s="15" t="s">
        <v>47</v>
      </c>
      <c r="X59" s="15" t="s">
        <v>299</v>
      </c>
      <c r="Y59" s="26"/>
      <c r="Z59" s="16"/>
      <c r="AA59" s="23" t="str">
        <f>IFERROR(VLOOKUP(10*tblRiskRegister322[[#This Row],[Risk Treatment Safeguard Maturity Score]]+tblRiskRegister322[[#This Row],[VCDB Index]],tblHITIndexWeightTable[],4,FALSE),"")</f>
        <v/>
      </c>
      <c r="AB59" s="65"/>
      <c r="AC59" s="65"/>
      <c r="AD59" s="65"/>
      <c r="AE59" s="65"/>
      <c r="AF59" s="23" t="str">
        <f>IFERROR(MAX(tblRiskRegister322[[#This Row],[Risk Treatment Safeguard Impact to Mission]:[Risk Treatment Safeguard Impact to Obligations]])*tblRiskRegister322[[#This Row],[Risk Treatment
Safeguard Expectancy Score]],"")</f>
        <v/>
      </c>
      <c r="AG59" s="23" t="str">
        <f>IF(tblRiskRegister322[[#This Row],[Risk Score]]&gt;AcceptableRisk1,IF(tblRiskRegister322[[#This Row],[Risk Treatment Safeguard Risk Score]]&lt;AcceptableRisk1, IF(tblRiskRegister322[[#This Row],[Risk Treatment Safeguard Risk Score]]&lt;=tblRiskRegister322[[#This Row],[Risk Score]],"Yes","No"),"No"),"Yes")</f>
        <v>Yes</v>
      </c>
      <c r="AH59" s="17"/>
      <c r="AI59" s="17"/>
      <c r="AJ59" s="18"/>
    </row>
    <row r="60" spans="2:36" ht="28">
      <c r="B60" s="15" t="s">
        <v>91</v>
      </c>
      <c r="C60" s="15"/>
      <c r="D60" s="13">
        <v>4.4000000000000004</v>
      </c>
      <c r="E60" s="14" t="s">
        <v>51</v>
      </c>
      <c r="F60" s="13" t="s">
        <v>416</v>
      </c>
      <c r="G60" s="13" t="s">
        <v>416</v>
      </c>
      <c r="H60" s="13" t="s">
        <v>512</v>
      </c>
      <c r="I60" s="14"/>
      <c r="J60" s="14"/>
      <c r="K60" s="14"/>
      <c r="L60" s="66">
        <v>1</v>
      </c>
      <c r="M60" s="24">
        <f>IFERROR(VLOOKUP(tblRiskRegister322[[#This Row],[Asset Class]],tblVCDBIndex[],4,FALSE),"")</f>
        <v>1</v>
      </c>
      <c r="N60" s="24">
        <f>IFERROR(VLOOKUP(10*tblRiskRegister322[[#This Row],[Safeguard Maturity Score]]+tblRiskRegister322[[#This Row],[VCDB Index]],tblHITIndexWeightTable[],4,FALSE),"")</f>
        <v>4</v>
      </c>
      <c r="O60" s="24">
        <f>VLOOKUP(tblRiskRegister322[[#This Row],[Asset Class]],tblInherentImpacts3046[],2,FALSE)</f>
        <v>2</v>
      </c>
      <c r="P60" s="24">
        <f>VLOOKUP(tblRiskRegister322[[#This Row],[Asset Class]],tblInherentImpacts3046[],3,FALSE)</f>
        <v>1</v>
      </c>
      <c r="Q60" s="24">
        <f>VLOOKUP(tblRiskRegister322[[#This Row],[Asset Class]],tblInherentImpacts3046[],4,FALSE)</f>
        <v>3</v>
      </c>
      <c r="R60" s="24">
        <f>VLOOKUP(tblRiskRegister322[[#This Row],[Asset Class]],tblInherentImpacts3046[],5,FALSE)</f>
        <v>3</v>
      </c>
      <c r="S60" s="24">
        <f>IFERROR(MAX(tblRiskRegister322[[#This Row],[Impact to Mission]:[Impact to Obligations]])*tblRiskRegister322[[#This Row],[Expectancy Score]],"")</f>
        <v>12</v>
      </c>
      <c r="T60" s="24">
        <f>tblRiskRegister322[[#This Row],[Risk Score]]</f>
        <v>12</v>
      </c>
      <c r="U60" s="13"/>
      <c r="V60" s="50">
        <v>4.4000000000000004</v>
      </c>
      <c r="W60" s="15" t="s">
        <v>51</v>
      </c>
      <c r="X60" s="15" t="s">
        <v>309</v>
      </c>
      <c r="Y60" s="26"/>
      <c r="Z60" s="16"/>
      <c r="AA60" s="23" t="str">
        <f>IFERROR(VLOOKUP(10*tblRiskRegister322[[#This Row],[Risk Treatment Safeguard Maturity Score]]+tblRiskRegister322[[#This Row],[VCDB Index]],tblHITIndexWeightTable[],4,FALSE),"")</f>
        <v/>
      </c>
      <c r="AB60" s="65"/>
      <c r="AC60" s="65"/>
      <c r="AD60" s="65"/>
      <c r="AE60" s="65"/>
      <c r="AF60" s="23" t="str">
        <f>IFERROR(MAX(tblRiskRegister322[[#This Row],[Risk Treatment Safeguard Impact to Mission]:[Risk Treatment Safeguard Impact to Obligations]])*tblRiskRegister322[[#This Row],[Risk Treatment
Safeguard Expectancy Score]],"")</f>
        <v/>
      </c>
      <c r="AG60" s="23" t="str">
        <f>IF(tblRiskRegister322[[#This Row],[Risk Score]]&gt;AcceptableRisk1,IF(tblRiskRegister322[[#This Row],[Risk Treatment Safeguard Risk Score]]&lt;AcceptableRisk1, IF(tblRiskRegister322[[#This Row],[Risk Treatment Safeguard Risk Score]]&lt;=tblRiskRegister322[[#This Row],[Risk Score]],"Yes","No"),"No"),"Yes")</f>
        <v>No</v>
      </c>
      <c r="AH60" s="17"/>
      <c r="AI60" s="17"/>
      <c r="AJ60" s="18"/>
    </row>
    <row r="61" spans="2:36" ht="28">
      <c r="B61" s="15" t="s">
        <v>91</v>
      </c>
      <c r="C61" s="15"/>
      <c r="D61" s="13">
        <v>4.5</v>
      </c>
      <c r="E61" s="14" t="s">
        <v>52</v>
      </c>
      <c r="F61" s="13" t="s">
        <v>416</v>
      </c>
      <c r="G61" s="13" t="s">
        <v>416</v>
      </c>
      <c r="H61" s="13" t="s">
        <v>512</v>
      </c>
      <c r="I61" s="14"/>
      <c r="J61" s="14"/>
      <c r="K61" s="14"/>
      <c r="L61" s="66">
        <v>2</v>
      </c>
      <c r="M61" s="24">
        <f>IFERROR(VLOOKUP(tblRiskRegister322[[#This Row],[Asset Class]],tblVCDBIndex[],4,FALSE),"")</f>
        <v>1</v>
      </c>
      <c r="N61" s="24">
        <f>IFERROR(VLOOKUP(10*tblRiskRegister322[[#This Row],[Safeguard Maturity Score]]+tblRiskRegister322[[#This Row],[VCDB Index]],tblHITIndexWeightTable[],4,FALSE),"")</f>
        <v>3</v>
      </c>
      <c r="O61" s="24">
        <f>VLOOKUP(tblRiskRegister322[[#This Row],[Asset Class]],tblInherentImpacts3046[],2,FALSE)</f>
        <v>2</v>
      </c>
      <c r="P61" s="24">
        <f>VLOOKUP(tblRiskRegister322[[#This Row],[Asset Class]],tblInherentImpacts3046[],3,FALSE)</f>
        <v>1</v>
      </c>
      <c r="Q61" s="24">
        <f>VLOOKUP(tblRiskRegister322[[#This Row],[Asset Class]],tblInherentImpacts3046[],4,FALSE)</f>
        <v>3</v>
      </c>
      <c r="R61" s="24">
        <f>VLOOKUP(tblRiskRegister322[[#This Row],[Asset Class]],tblInherentImpacts3046[],5,FALSE)</f>
        <v>3</v>
      </c>
      <c r="S61" s="24">
        <f>IFERROR(MAX(tblRiskRegister322[[#This Row],[Impact to Mission]:[Impact to Obligations]])*tblRiskRegister322[[#This Row],[Expectancy Score]],"")</f>
        <v>9</v>
      </c>
      <c r="T61" s="24">
        <f>tblRiskRegister322[[#This Row],[Risk Score]]</f>
        <v>9</v>
      </c>
      <c r="U61" s="13"/>
      <c r="V61" s="50">
        <v>4.5</v>
      </c>
      <c r="W61" s="15" t="s">
        <v>52</v>
      </c>
      <c r="X61" s="15" t="s">
        <v>310</v>
      </c>
      <c r="Y61" s="26"/>
      <c r="Z61" s="16"/>
      <c r="AA61" s="23" t="str">
        <f>IFERROR(VLOOKUP(10*tblRiskRegister322[[#This Row],[Risk Treatment Safeguard Maturity Score]]+tblRiskRegister322[[#This Row],[VCDB Index]],tblHITIndexWeightTable[],4,FALSE),"")</f>
        <v/>
      </c>
      <c r="AB61" s="65"/>
      <c r="AC61" s="65"/>
      <c r="AD61" s="65"/>
      <c r="AE61" s="65"/>
      <c r="AF61" s="23" t="str">
        <f>IFERROR(MAX(tblRiskRegister322[[#This Row],[Risk Treatment Safeguard Impact to Mission]:[Risk Treatment Safeguard Impact to Obligations]])*tblRiskRegister322[[#This Row],[Risk Treatment
Safeguard Expectancy Score]],"")</f>
        <v/>
      </c>
      <c r="AG61" s="23" t="str">
        <f>IF(tblRiskRegister322[[#This Row],[Risk Score]]&gt;AcceptableRisk1,IF(tblRiskRegister322[[#This Row],[Risk Treatment Safeguard Risk Score]]&lt;AcceptableRisk1, IF(tblRiskRegister322[[#This Row],[Risk Treatment Safeguard Risk Score]]&lt;=tblRiskRegister322[[#This Row],[Risk Score]],"Yes","No"),"No"),"Yes")</f>
        <v>Yes</v>
      </c>
      <c r="AH61" s="17"/>
      <c r="AI61" s="17"/>
      <c r="AJ61" s="18"/>
    </row>
    <row r="62" spans="2:36" ht="42">
      <c r="B62" s="15" t="s">
        <v>91</v>
      </c>
      <c r="C62" s="15"/>
      <c r="D62" s="13">
        <v>4.8</v>
      </c>
      <c r="E62" s="14" t="s">
        <v>185</v>
      </c>
      <c r="F62" s="13"/>
      <c r="G62" s="13" t="s">
        <v>416</v>
      </c>
      <c r="H62" s="13" t="s">
        <v>512</v>
      </c>
      <c r="I62" s="14"/>
      <c r="J62" s="14"/>
      <c r="K62" s="14"/>
      <c r="L62" s="66">
        <v>1</v>
      </c>
      <c r="M62" s="24">
        <f>IFERROR(VLOOKUP(tblRiskRegister322[[#This Row],[Asset Class]],tblVCDBIndex[],4,FALSE),"")</f>
        <v>1</v>
      </c>
      <c r="N62" s="24">
        <f>IFERROR(VLOOKUP(10*tblRiskRegister322[[#This Row],[Safeguard Maturity Score]]+tblRiskRegister322[[#This Row],[VCDB Index]],tblHITIndexWeightTable[],4,FALSE),"")</f>
        <v>4</v>
      </c>
      <c r="O62" s="24">
        <f>VLOOKUP(tblRiskRegister322[[#This Row],[Asset Class]],tblInherentImpacts3046[],2,FALSE)</f>
        <v>2</v>
      </c>
      <c r="P62" s="24">
        <f>VLOOKUP(tblRiskRegister322[[#This Row],[Asset Class]],tblInherentImpacts3046[],3,FALSE)</f>
        <v>1</v>
      </c>
      <c r="Q62" s="24">
        <f>VLOOKUP(tblRiskRegister322[[#This Row],[Asset Class]],tblInherentImpacts3046[],4,FALSE)</f>
        <v>3</v>
      </c>
      <c r="R62" s="24">
        <f>VLOOKUP(tblRiskRegister322[[#This Row],[Asset Class]],tblInherentImpacts3046[],5,FALSE)</f>
        <v>3</v>
      </c>
      <c r="S62" s="24">
        <f>IFERROR(MAX(tblRiskRegister322[[#This Row],[Impact to Mission]:[Impact to Obligations]])*tblRiskRegister322[[#This Row],[Expectancy Score]],"")</f>
        <v>12</v>
      </c>
      <c r="T62" s="24">
        <f>tblRiskRegister322[[#This Row],[Risk Score]]</f>
        <v>12</v>
      </c>
      <c r="U62" s="13"/>
      <c r="V62" s="50">
        <v>4.8</v>
      </c>
      <c r="W62" s="15" t="s">
        <v>185</v>
      </c>
      <c r="X62" s="15" t="s">
        <v>313</v>
      </c>
      <c r="Y62" s="26"/>
      <c r="Z62" s="16"/>
      <c r="AA62" s="23" t="str">
        <f>IFERROR(VLOOKUP(10*tblRiskRegister322[[#This Row],[Risk Treatment Safeguard Maturity Score]]+tblRiskRegister322[[#This Row],[VCDB Index]],tblHITIndexWeightTable[],4,FALSE),"")</f>
        <v/>
      </c>
      <c r="AB62" s="65"/>
      <c r="AC62" s="65"/>
      <c r="AD62" s="65"/>
      <c r="AE62" s="65"/>
      <c r="AF62" s="23" t="str">
        <f>IFERROR(MAX(tblRiskRegister322[[#This Row],[Risk Treatment Safeguard Impact to Mission]:[Risk Treatment Safeguard Impact to Obligations]])*tblRiskRegister322[[#This Row],[Risk Treatment
Safeguard Expectancy Score]],"")</f>
        <v/>
      </c>
      <c r="AG62" s="23" t="str">
        <f>IF(tblRiskRegister322[[#This Row],[Risk Score]]&gt;AcceptableRisk1,IF(tblRiskRegister322[[#This Row],[Risk Treatment Safeguard Risk Score]]&lt;AcceptableRisk1, IF(tblRiskRegister322[[#This Row],[Risk Treatment Safeguard Risk Score]]&lt;=tblRiskRegister322[[#This Row],[Risk Score]],"Yes","No"),"No"),"Yes")</f>
        <v>No</v>
      </c>
      <c r="AH62" s="17"/>
      <c r="AI62" s="17"/>
      <c r="AJ62" s="18"/>
    </row>
    <row r="63" spans="2:36" ht="42">
      <c r="B63" s="15" t="s">
        <v>91</v>
      </c>
      <c r="C63" s="15"/>
      <c r="D63" s="13">
        <v>4.9000000000000004</v>
      </c>
      <c r="E63" s="14" t="s">
        <v>186</v>
      </c>
      <c r="F63" s="13"/>
      <c r="G63" s="13" t="s">
        <v>416</v>
      </c>
      <c r="H63" s="13" t="s">
        <v>512</v>
      </c>
      <c r="I63" s="14"/>
      <c r="J63" s="14"/>
      <c r="K63" s="14"/>
      <c r="L63" s="66">
        <v>2</v>
      </c>
      <c r="M63" s="24">
        <f>IFERROR(VLOOKUP(tblRiskRegister322[[#This Row],[Asset Class]],tblVCDBIndex[],4,FALSE),"")</f>
        <v>1</v>
      </c>
      <c r="N63" s="24">
        <f>IFERROR(VLOOKUP(10*tblRiskRegister322[[#This Row],[Safeguard Maturity Score]]+tblRiskRegister322[[#This Row],[VCDB Index]],tblHITIndexWeightTable[],4,FALSE),"")</f>
        <v>3</v>
      </c>
      <c r="O63" s="24">
        <f>VLOOKUP(tblRiskRegister322[[#This Row],[Asset Class]],tblInherentImpacts3046[],2,FALSE)</f>
        <v>2</v>
      </c>
      <c r="P63" s="24">
        <f>VLOOKUP(tblRiskRegister322[[#This Row],[Asset Class]],tblInherentImpacts3046[],3,FALSE)</f>
        <v>1</v>
      </c>
      <c r="Q63" s="24">
        <f>VLOOKUP(tblRiskRegister322[[#This Row],[Asset Class]],tblInherentImpacts3046[],4,FALSE)</f>
        <v>3</v>
      </c>
      <c r="R63" s="24">
        <f>VLOOKUP(tblRiskRegister322[[#This Row],[Asset Class]],tblInherentImpacts3046[],5,FALSE)</f>
        <v>3</v>
      </c>
      <c r="S63" s="24">
        <f>IFERROR(MAX(tblRiskRegister322[[#This Row],[Impact to Mission]:[Impact to Obligations]])*tblRiskRegister322[[#This Row],[Expectancy Score]],"")</f>
        <v>9</v>
      </c>
      <c r="T63" s="24">
        <f>tblRiskRegister322[[#This Row],[Risk Score]]</f>
        <v>9</v>
      </c>
      <c r="U63" s="13"/>
      <c r="V63" s="50">
        <v>4.9000000000000004</v>
      </c>
      <c r="W63" s="15" t="s">
        <v>186</v>
      </c>
      <c r="X63" s="15" t="s">
        <v>314</v>
      </c>
      <c r="Y63" s="26"/>
      <c r="Z63" s="16"/>
      <c r="AA63" s="23" t="str">
        <f>IFERROR(VLOOKUP(10*tblRiskRegister322[[#This Row],[Risk Treatment Safeguard Maturity Score]]+tblRiskRegister322[[#This Row],[VCDB Index]],tblHITIndexWeightTable[],4,FALSE),"")</f>
        <v/>
      </c>
      <c r="AB63" s="65"/>
      <c r="AC63" s="65"/>
      <c r="AD63" s="65"/>
      <c r="AE63" s="65"/>
      <c r="AF63" s="23" t="str">
        <f>IFERROR(MAX(tblRiskRegister322[[#This Row],[Risk Treatment Safeguard Impact to Mission]:[Risk Treatment Safeguard Impact to Obligations]])*tblRiskRegister322[[#This Row],[Risk Treatment
Safeguard Expectancy Score]],"")</f>
        <v/>
      </c>
      <c r="AG63" s="23" t="str">
        <f>IF(tblRiskRegister322[[#This Row],[Risk Score]]&gt;AcceptableRisk1,IF(tblRiskRegister322[[#This Row],[Risk Treatment Safeguard Risk Score]]&lt;AcceptableRisk1, IF(tblRiskRegister322[[#This Row],[Risk Treatment Safeguard Risk Score]]&lt;=tblRiskRegister322[[#This Row],[Risk Score]],"Yes","No"),"No"),"Yes")</f>
        <v>Yes</v>
      </c>
      <c r="AH63" s="17"/>
      <c r="AI63" s="17"/>
      <c r="AJ63" s="18"/>
    </row>
    <row r="64" spans="2:36" ht="70">
      <c r="B64" s="15" t="s">
        <v>91</v>
      </c>
      <c r="C64" s="15"/>
      <c r="D64" s="58">
        <v>4.0999999999999996</v>
      </c>
      <c r="E64" s="14" t="s">
        <v>187</v>
      </c>
      <c r="F64" s="13"/>
      <c r="G64" s="13" t="s">
        <v>416</v>
      </c>
      <c r="H64" s="13" t="s">
        <v>511</v>
      </c>
      <c r="I64" s="14"/>
      <c r="J64" s="14"/>
      <c r="K64" s="14"/>
      <c r="L64" s="66">
        <v>4</v>
      </c>
      <c r="M64" s="24">
        <f>IFERROR(VLOOKUP(tblRiskRegister322[[#This Row],[Asset Class]],tblVCDBIndex[],4,FALSE),"")</f>
        <v>1</v>
      </c>
      <c r="N64" s="24">
        <f>IFERROR(VLOOKUP(10*tblRiskRegister322[[#This Row],[Safeguard Maturity Score]]+tblRiskRegister322[[#This Row],[VCDB Index]],tblHITIndexWeightTable[],4,FALSE),"")</f>
        <v>1</v>
      </c>
      <c r="O64" s="24">
        <f>VLOOKUP(tblRiskRegister322[[#This Row],[Asset Class]],tblInherentImpacts3046[],2,FALSE)</f>
        <v>2</v>
      </c>
      <c r="P64" s="24">
        <f>VLOOKUP(tblRiskRegister322[[#This Row],[Asset Class]],tblInherentImpacts3046[],3,FALSE)</f>
        <v>1</v>
      </c>
      <c r="Q64" s="24">
        <f>VLOOKUP(tblRiskRegister322[[#This Row],[Asset Class]],tblInherentImpacts3046[],4,FALSE)</f>
        <v>3</v>
      </c>
      <c r="R64" s="24">
        <f>VLOOKUP(tblRiskRegister322[[#This Row],[Asset Class]],tblInherentImpacts3046[],5,FALSE)</f>
        <v>3</v>
      </c>
      <c r="S64" s="24">
        <f>IFERROR(MAX(tblRiskRegister322[[#This Row],[Impact to Mission]:[Impact to Obligations]])*tblRiskRegister322[[#This Row],[Expectancy Score]],"")</f>
        <v>3</v>
      </c>
      <c r="T64" s="24">
        <f>tblRiskRegister322[[#This Row],[Risk Score]]</f>
        <v>3</v>
      </c>
      <c r="U64" s="13"/>
      <c r="V64" s="50">
        <v>4.0999999999999996</v>
      </c>
      <c r="W64" s="15" t="s">
        <v>187</v>
      </c>
      <c r="X64" s="15" t="s">
        <v>315</v>
      </c>
      <c r="Y64" s="26"/>
      <c r="Z64" s="16"/>
      <c r="AA64" s="23" t="str">
        <f>IFERROR(VLOOKUP(10*tblRiskRegister322[[#This Row],[Risk Treatment Safeguard Maturity Score]]+tblRiskRegister322[[#This Row],[VCDB Index]],tblHITIndexWeightTable[],4,FALSE),"")</f>
        <v/>
      </c>
      <c r="AB64" s="65"/>
      <c r="AC64" s="65"/>
      <c r="AD64" s="65"/>
      <c r="AE64" s="65"/>
      <c r="AF64" s="23" t="str">
        <f>IFERROR(MAX(tblRiskRegister322[[#This Row],[Risk Treatment Safeguard Impact to Mission]:[Risk Treatment Safeguard Impact to Obligations]])*tblRiskRegister322[[#This Row],[Risk Treatment
Safeguard Expectancy Score]],"")</f>
        <v/>
      </c>
      <c r="AG64" s="23" t="str">
        <f>IF(tblRiskRegister322[[#This Row],[Risk Score]]&gt;AcceptableRisk1,IF(tblRiskRegister322[[#This Row],[Risk Treatment Safeguard Risk Score]]&lt;AcceptableRisk1, IF(tblRiskRegister322[[#This Row],[Risk Treatment Safeguard Risk Score]]&lt;=tblRiskRegister322[[#This Row],[Risk Score]],"Yes","No"),"No"),"Yes")</f>
        <v>Yes</v>
      </c>
      <c r="AH64" s="17"/>
      <c r="AI64" s="17"/>
      <c r="AJ64" s="18"/>
    </row>
    <row r="65" spans="2:36" ht="42">
      <c r="B65" s="15" t="s">
        <v>91</v>
      </c>
      <c r="C65" s="15"/>
      <c r="D65" s="13">
        <v>4.1100000000000003</v>
      </c>
      <c r="E65" s="14" t="s">
        <v>188</v>
      </c>
      <c r="F65" s="13"/>
      <c r="G65" s="13" t="s">
        <v>416</v>
      </c>
      <c r="H65" s="13" t="s">
        <v>512</v>
      </c>
      <c r="I65" s="14"/>
      <c r="J65" s="14"/>
      <c r="K65" s="14"/>
      <c r="L65" s="66">
        <v>2</v>
      </c>
      <c r="M65" s="24">
        <f>IFERROR(VLOOKUP(tblRiskRegister322[[#This Row],[Asset Class]],tblVCDBIndex[],4,FALSE),"")</f>
        <v>1</v>
      </c>
      <c r="N65" s="24">
        <f>IFERROR(VLOOKUP(10*tblRiskRegister322[[#This Row],[Safeguard Maturity Score]]+tblRiskRegister322[[#This Row],[VCDB Index]],tblHITIndexWeightTable[],4,FALSE),"")</f>
        <v>3</v>
      </c>
      <c r="O65" s="24">
        <f>VLOOKUP(tblRiskRegister322[[#This Row],[Asset Class]],tblInherentImpacts3046[],2,FALSE)</f>
        <v>2</v>
      </c>
      <c r="P65" s="24">
        <f>VLOOKUP(tblRiskRegister322[[#This Row],[Asset Class]],tblInherentImpacts3046[],3,FALSE)</f>
        <v>1</v>
      </c>
      <c r="Q65" s="24">
        <f>VLOOKUP(tblRiskRegister322[[#This Row],[Asset Class]],tblInherentImpacts3046[],4,FALSE)</f>
        <v>3</v>
      </c>
      <c r="R65" s="24">
        <f>VLOOKUP(tblRiskRegister322[[#This Row],[Asset Class]],tblInherentImpacts3046[],5,FALSE)</f>
        <v>3</v>
      </c>
      <c r="S65" s="24">
        <f>IFERROR(MAX(tblRiskRegister322[[#This Row],[Impact to Mission]:[Impact to Obligations]])*tblRiskRegister322[[#This Row],[Expectancy Score]],"")</f>
        <v>9</v>
      </c>
      <c r="T65" s="24">
        <f>tblRiskRegister322[[#This Row],[Risk Score]]</f>
        <v>9</v>
      </c>
      <c r="U65" s="13"/>
      <c r="V65" s="50">
        <v>4.1100000000000003</v>
      </c>
      <c r="W65" s="15" t="s">
        <v>188</v>
      </c>
      <c r="X65" s="15" t="s">
        <v>316</v>
      </c>
      <c r="Y65" s="26"/>
      <c r="Z65" s="16"/>
      <c r="AA65" s="23" t="str">
        <f>IFERROR(VLOOKUP(10*tblRiskRegister322[[#This Row],[Risk Treatment Safeguard Maturity Score]]+tblRiskRegister322[[#This Row],[VCDB Index]],tblHITIndexWeightTable[],4,FALSE),"")</f>
        <v/>
      </c>
      <c r="AB65" s="65"/>
      <c r="AC65" s="65"/>
      <c r="AD65" s="65"/>
      <c r="AE65" s="65"/>
      <c r="AF65" s="23" t="str">
        <f>IFERROR(MAX(tblRiskRegister322[[#This Row],[Risk Treatment Safeguard Impact to Mission]:[Risk Treatment Safeguard Impact to Obligations]])*tblRiskRegister322[[#This Row],[Risk Treatment
Safeguard Expectancy Score]],"")</f>
        <v/>
      </c>
      <c r="AG65" s="23" t="str">
        <f>IF(tblRiskRegister322[[#This Row],[Risk Score]]&gt;AcceptableRisk1,IF(tblRiskRegister322[[#This Row],[Risk Treatment Safeguard Risk Score]]&lt;AcceptableRisk1, IF(tblRiskRegister322[[#This Row],[Risk Treatment Safeguard Risk Score]]&lt;=tblRiskRegister322[[#This Row],[Risk Score]],"Yes","No"),"No"),"Yes")</f>
        <v>Yes</v>
      </c>
      <c r="AH65" s="17"/>
      <c r="AI65" s="17"/>
      <c r="AJ65" s="18"/>
    </row>
    <row r="66" spans="2:36" ht="28">
      <c r="B66" s="15" t="s">
        <v>91</v>
      </c>
      <c r="C66" s="15"/>
      <c r="D66" s="13">
        <v>8.8000000000000007</v>
      </c>
      <c r="E66" s="14" t="s">
        <v>189</v>
      </c>
      <c r="F66" s="13"/>
      <c r="G66" s="13" t="s">
        <v>416</v>
      </c>
      <c r="H66" s="13" t="s">
        <v>513</v>
      </c>
      <c r="I66" s="14"/>
      <c r="J66" s="14"/>
      <c r="K66" s="14"/>
      <c r="L66" s="16"/>
      <c r="M66" s="24">
        <f>IFERROR(VLOOKUP(tblRiskRegister322[[#This Row],[Asset Class]],tblVCDBIndex[],4,FALSE),"")</f>
        <v>1</v>
      </c>
      <c r="N66" s="24" t="str">
        <f>IFERROR(VLOOKUP(10*tblRiskRegister322[[#This Row],[Safeguard Maturity Score]]+tblRiskRegister322[[#This Row],[VCDB Index]],tblHITIndexWeightTable[],4,FALSE),"")</f>
        <v/>
      </c>
      <c r="O66" s="24">
        <f>VLOOKUP(tblRiskRegister322[[#This Row],[Asset Class]],tblInherentImpacts3046[],2,FALSE)</f>
        <v>2</v>
      </c>
      <c r="P66" s="24">
        <f>VLOOKUP(tblRiskRegister322[[#This Row],[Asset Class]],tblInherentImpacts3046[],3,FALSE)</f>
        <v>1</v>
      </c>
      <c r="Q66" s="24">
        <f>VLOOKUP(tblRiskRegister322[[#This Row],[Asset Class]],tblInherentImpacts3046[],4,FALSE)</f>
        <v>3</v>
      </c>
      <c r="R66" s="24">
        <f>VLOOKUP(tblRiskRegister322[[#This Row],[Asset Class]],tblInherentImpacts3046[],5,FALSE)</f>
        <v>3</v>
      </c>
      <c r="S66" s="24" t="str">
        <f>IFERROR(MAX(tblRiskRegister322[[#This Row],[Impact to Mission]:[Impact to Obligations]])*tblRiskRegister322[[#This Row],[Expectancy Score]],"")</f>
        <v/>
      </c>
      <c r="T66" s="24" t="str">
        <f>tblRiskRegister322[[#This Row],[Risk Score]]</f>
        <v/>
      </c>
      <c r="U66" s="13"/>
      <c r="V66" s="50">
        <v>8.8000000000000007</v>
      </c>
      <c r="W66" s="15" t="s">
        <v>189</v>
      </c>
      <c r="X66" s="15" t="s">
        <v>344</v>
      </c>
      <c r="Y66" s="26"/>
      <c r="Z66" s="16"/>
      <c r="AA66" s="23" t="str">
        <f>IFERROR(VLOOKUP(10*tblRiskRegister322[[#This Row],[Risk Treatment Safeguard Maturity Score]]+tblRiskRegister322[[#This Row],[VCDB Index]],tblHITIndexWeightTable[],4,FALSE),"")</f>
        <v/>
      </c>
      <c r="AB66" s="65"/>
      <c r="AC66" s="65"/>
      <c r="AD66" s="65"/>
      <c r="AE66" s="65"/>
      <c r="AF66" s="23" t="str">
        <f>IFERROR(MAX(tblRiskRegister322[[#This Row],[Risk Treatment Safeguard Impact to Mission]:[Risk Treatment Safeguard Impact to Obligations]])*tblRiskRegister322[[#This Row],[Risk Treatment
Safeguard Expectancy Score]],"")</f>
        <v/>
      </c>
      <c r="AG66" s="23" t="str">
        <f>IF(tblRiskRegister322[[#This Row],[Risk Score]]&gt;AcceptableRisk1,IF(tblRiskRegister322[[#This Row],[Risk Treatment Safeguard Risk Score]]&lt;AcceptableRisk1, IF(tblRiskRegister322[[#This Row],[Risk Treatment Safeguard Risk Score]]&lt;=tblRiskRegister322[[#This Row],[Risk Score]],"Yes","No"),"No"),"Yes")</f>
        <v>No</v>
      </c>
      <c r="AH66" s="17"/>
      <c r="AI66" s="17"/>
      <c r="AJ66" s="18"/>
    </row>
    <row r="67" spans="2:36" ht="28">
      <c r="B67" s="15" t="s">
        <v>91</v>
      </c>
      <c r="C67" s="15"/>
      <c r="D67" s="13">
        <v>10.1</v>
      </c>
      <c r="E67" s="14" t="s">
        <v>70</v>
      </c>
      <c r="F67" s="13" t="s">
        <v>416</v>
      </c>
      <c r="G67" s="13" t="s">
        <v>416</v>
      </c>
      <c r="H67" s="13" t="s">
        <v>512</v>
      </c>
      <c r="I67" s="14"/>
      <c r="J67" s="14"/>
      <c r="K67" s="14"/>
      <c r="L67" s="16"/>
      <c r="M67" s="24">
        <f>IFERROR(VLOOKUP(tblRiskRegister322[[#This Row],[Asset Class]],tblVCDBIndex[],4,FALSE),"")</f>
        <v>1</v>
      </c>
      <c r="N67" s="24" t="str">
        <f>IFERROR(VLOOKUP(10*tblRiskRegister322[[#This Row],[Safeguard Maturity Score]]+tblRiskRegister322[[#This Row],[VCDB Index]],tblHITIndexWeightTable[],4,FALSE),"")</f>
        <v/>
      </c>
      <c r="O67" s="24">
        <f>VLOOKUP(tblRiskRegister322[[#This Row],[Asset Class]],tblInherentImpacts3046[],2,FALSE)</f>
        <v>2</v>
      </c>
      <c r="P67" s="24">
        <f>VLOOKUP(tblRiskRegister322[[#This Row],[Asset Class]],tblInherentImpacts3046[],3,FALSE)</f>
        <v>1</v>
      </c>
      <c r="Q67" s="24">
        <f>VLOOKUP(tblRiskRegister322[[#This Row],[Asset Class]],tblInherentImpacts3046[],4,FALSE)</f>
        <v>3</v>
      </c>
      <c r="R67" s="24">
        <f>VLOOKUP(tblRiskRegister322[[#This Row],[Asset Class]],tblInherentImpacts3046[],5,FALSE)</f>
        <v>3</v>
      </c>
      <c r="S67" s="24" t="str">
        <f>IFERROR(MAX(tblRiskRegister322[[#This Row],[Impact to Mission]:[Impact to Obligations]])*tblRiskRegister322[[#This Row],[Expectancy Score]],"")</f>
        <v/>
      </c>
      <c r="T67" s="24" t="str">
        <f>tblRiskRegister322[[#This Row],[Risk Score]]</f>
        <v/>
      </c>
      <c r="U67" s="13"/>
      <c r="V67" s="50">
        <v>10.1</v>
      </c>
      <c r="W67" s="15" t="s">
        <v>70</v>
      </c>
      <c r="X67" s="15" t="s">
        <v>354</v>
      </c>
      <c r="Y67" s="26"/>
      <c r="Z67" s="16"/>
      <c r="AA67" s="23" t="str">
        <f>IFERROR(VLOOKUP(10*tblRiskRegister322[[#This Row],[Risk Treatment Safeguard Maturity Score]]+tblRiskRegister322[[#This Row],[VCDB Index]],tblHITIndexWeightTable[],4,FALSE),"")</f>
        <v/>
      </c>
      <c r="AB67" s="65"/>
      <c r="AC67" s="65"/>
      <c r="AD67" s="65"/>
      <c r="AE67" s="65"/>
      <c r="AF67" s="23" t="str">
        <f>IFERROR(MAX(tblRiskRegister322[[#This Row],[Risk Treatment Safeguard Impact to Mission]:[Risk Treatment Safeguard Impact to Obligations]])*tblRiskRegister322[[#This Row],[Risk Treatment
Safeguard Expectancy Score]],"")</f>
        <v/>
      </c>
      <c r="AG67" s="23" t="str">
        <f>IF(tblRiskRegister322[[#This Row],[Risk Score]]&gt;AcceptableRisk1,IF(tblRiskRegister322[[#This Row],[Risk Treatment Safeguard Risk Score]]&lt;AcceptableRisk1, IF(tblRiskRegister322[[#This Row],[Risk Treatment Safeguard Risk Score]]&lt;=tblRiskRegister322[[#This Row],[Risk Score]],"Yes","No"),"No"),"Yes")</f>
        <v>No</v>
      </c>
      <c r="AH67" s="17"/>
      <c r="AI67" s="17"/>
      <c r="AJ67" s="18"/>
    </row>
    <row r="68" spans="2:36" ht="28">
      <c r="B68" s="15" t="s">
        <v>91</v>
      </c>
      <c r="C68" s="15"/>
      <c r="D68" s="13">
        <v>10.199999999999999</v>
      </c>
      <c r="E68" s="14" t="s">
        <v>71</v>
      </c>
      <c r="F68" s="13" t="s">
        <v>416</v>
      </c>
      <c r="G68" s="13" t="s">
        <v>416</v>
      </c>
      <c r="H68" s="13" t="s">
        <v>512</v>
      </c>
      <c r="I68" s="14"/>
      <c r="J68" s="14"/>
      <c r="K68" s="14"/>
      <c r="L68" s="16"/>
      <c r="M68" s="24">
        <f>IFERROR(VLOOKUP(tblRiskRegister322[[#This Row],[Asset Class]],tblVCDBIndex[],4,FALSE),"")</f>
        <v>1</v>
      </c>
      <c r="N68" s="24" t="str">
        <f>IFERROR(VLOOKUP(10*tblRiskRegister322[[#This Row],[Safeguard Maturity Score]]+tblRiskRegister322[[#This Row],[VCDB Index]],tblHITIndexWeightTable[],4,FALSE),"")</f>
        <v/>
      </c>
      <c r="O68" s="24">
        <f>VLOOKUP(tblRiskRegister322[[#This Row],[Asset Class]],tblInherentImpacts3046[],2,FALSE)</f>
        <v>2</v>
      </c>
      <c r="P68" s="24">
        <f>VLOOKUP(tblRiskRegister322[[#This Row],[Asset Class]],tblInherentImpacts3046[],3,FALSE)</f>
        <v>1</v>
      </c>
      <c r="Q68" s="24">
        <f>VLOOKUP(tblRiskRegister322[[#This Row],[Asset Class]],tblInherentImpacts3046[],4,FALSE)</f>
        <v>3</v>
      </c>
      <c r="R68" s="24">
        <f>VLOOKUP(tblRiskRegister322[[#This Row],[Asset Class]],tblInherentImpacts3046[],5,FALSE)</f>
        <v>3</v>
      </c>
      <c r="S68" s="24" t="str">
        <f>IFERROR(MAX(tblRiskRegister322[[#This Row],[Impact to Mission]:[Impact to Obligations]])*tblRiskRegister322[[#This Row],[Expectancy Score]],"")</f>
        <v/>
      </c>
      <c r="T68" s="24" t="str">
        <f>tblRiskRegister322[[#This Row],[Risk Score]]</f>
        <v/>
      </c>
      <c r="U68" s="13"/>
      <c r="V68" s="50">
        <v>10.199999999999999</v>
      </c>
      <c r="W68" s="15" t="s">
        <v>71</v>
      </c>
      <c r="X68" s="15" t="s">
        <v>355</v>
      </c>
      <c r="Y68" s="26"/>
      <c r="Z68" s="16"/>
      <c r="AA68" s="23" t="str">
        <f>IFERROR(VLOOKUP(10*tblRiskRegister322[[#This Row],[Risk Treatment Safeguard Maturity Score]]+tblRiskRegister322[[#This Row],[VCDB Index]],tblHITIndexWeightTable[],4,FALSE),"")</f>
        <v/>
      </c>
      <c r="AB68" s="65"/>
      <c r="AC68" s="65"/>
      <c r="AD68" s="65"/>
      <c r="AE68" s="65"/>
      <c r="AF68" s="23" t="str">
        <f>IFERROR(MAX(tblRiskRegister322[[#This Row],[Risk Treatment Safeguard Impact to Mission]:[Risk Treatment Safeguard Impact to Obligations]])*tblRiskRegister322[[#This Row],[Risk Treatment
Safeguard Expectancy Score]],"")</f>
        <v/>
      </c>
      <c r="AG68" s="23" t="str">
        <f>IF(tblRiskRegister322[[#This Row],[Risk Score]]&gt;AcceptableRisk1,IF(tblRiskRegister322[[#This Row],[Risk Treatment Safeguard Risk Score]]&lt;AcceptableRisk1, IF(tblRiskRegister322[[#This Row],[Risk Treatment Safeguard Risk Score]]&lt;=tblRiskRegister322[[#This Row],[Risk Score]],"Yes","No"),"No"),"Yes")</f>
        <v>No</v>
      </c>
      <c r="AH68" s="17"/>
      <c r="AI68" s="17"/>
      <c r="AJ68" s="18"/>
    </row>
    <row r="69" spans="2:36" ht="28">
      <c r="B69" s="15" t="s">
        <v>91</v>
      </c>
      <c r="C69" s="15"/>
      <c r="D69" s="13">
        <v>10.3</v>
      </c>
      <c r="E69" s="14" t="s">
        <v>72</v>
      </c>
      <c r="F69" s="13" t="s">
        <v>416</v>
      </c>
      <c r="G69" s="13" t="s">
        <v>416</v>
      </c>
      <c r="H69" s="13" t="s">
        <v>512</v>
      </c>
      <c r="I69" s="14"/>
      <c r="J69" s="14"/>
      <c r="K69" s="14"/>
      <c r="L69" s="16"/>
      <c r="M69" s="24">
        <f>IFERROR(VLOOKUP(tblRiskRegister322[[#This Row],[Asset Class]],tblVCDBIndex[],4,FALSE),"")</f>
        <v>1</v>
      </c>
      <c r="N69" s="24" t="str">
        <f>IFERROR(VLOOKUP(10*tblRiskRegister322[[#This Row],[Safeguard Maturity Score]]+tblRiskRegister322[[#This Row],[VCDB Index]],tblHITIndexWeightTable[],4,FALSE),"")</f>
        <v/>
      </c>
      <c r="O69" s="24">
        <f>VLOOKUP(tblRiskRegister322[[#This Row],[Asset Class]],tblInherentImpacts3046[],2,FALSE)</f>
        <v>2</v>
      </c>
      <c r="P69" s="24">
        <f>VLOOKUP(tblRiskRegister322[[#This Row],[Asset Class]],tblInherentImpacts3046[],3,FALSE)</f>
        <v>1</v>
      </c>
      <c r="Q69" s="24">
        <f>VLOOKUP(tblRiskRegister322[[#This Row],[Asset Class]],tblInherentImpacts3046[],4,FALSE)</f>
        <v>3</v>
      </c>
      <c r="R69" s="24">
        <f>VLOOKUP(tblRiskRegister322[[#This Row],[Asset Class]],tblInherentImpacts3046[],5,FALSE)</f>
        <v>3</v>
      </c>
      <c r="S69" s="24" t="str">
        <f>IFERROR(MAX(tblRiskRegister322[[#This Row],[Impact to Mission]:[Impact to Obligations]])*tblRiskRegister322[[#This Row],[Expectancy Score]],"")</f>
        <v/>
      </c>
      <c r="T69" s="24" t="str">
        <f>tblRiskRegister322[[#This Row],[Risk Score]]</f>
        <v/>
      </c>
      <c r="U69" s="13"/>
      <c r="V69" s="50">
        <v>10.3</v>
      </c>
      <c r="W69" s="15" t="s">
        <v>72</v>
      </c>
      <c r="X69" s="15" t="s">
        <v>356</v>
      </c>
      <c r="Y69" s="26"/>
      <c r="Z69" s="16"/>
      <c r="AA69" s="23" t="str">
        <f>IFERROR(VLOOKUP(10*tblRiskRegister322[[#This Row],[Risk Treatment Safeguard Maturity Score]]+tblRiskRegister322[[#This Row],[VCDB Index]],tblHITIndexWeightTable[],4,FALSE),"")</f>
        <v/>
      </c>
      <c r="AB69" s="65"/>
      <c r="AC69" s="65"/>
      <c r="AD69" s="65"/>
      <c r="AE69" s="65"/>
      <c r="AF69" s="23" t="str">
        <f>IFERROR(MAX(tblRiskRegister322[[#This Row],[Risk Treatment Safeguard Impact to Mission]:[Risk Treatment Safeguard Impact to Obligations]])*tblRiskRegister322[[#This Row],[Risk Treatment
Safeguard Expectancy Score]],"")</f>
        <v/>
      </c>
      <c r="AG69" s="23" t="str">
        <f>IF(tblRiskRegister322[[#This Row],[Risk Score]]&gt;AcceptableRisk1,IF(tblRiskRegister322[[#This Row],[Risk Treatment Safeguard Risk Score]]&lt;AcceptableRisk1, IF(tblRiskRegister322[[#This Row],[Risk Treatment Safeguard Risk Score]]&lt;=tblRiskRegister322[[#This Row],[Risk Score]],"Yes","No"),"No"),"Yes")</f>
        <v>No</v>
      </c>
      <c r="AH69" s="17"/>
      <c r="AI69" s="17"/>
      <c r="AJ69" s="18"/>
    </row>
    <row r="70" spans="2:36" ht="28">
      <c r="B70" s="15" t="s">
        <v>91</v>
      </c>
      <c r="C70" s="15"/>
      <c r="D70" s="13">
        <v>10.4</v>
      </c>
      <c r="E70" s="14" t="s">
        <v>190</v>
      </c>
      <c r="F70" s="13"/>
      <c r="G70" s="13" t="s">
        <v>416</v>
      </c>
      <c r="H70" s="13" t="s">
        <v>513</v>
      </c>
      <c r="I70" s="14"/>
      <c r="J70" s="14"/>
      <c r="K70" s="14"/>
      <c r="L70" s="16"/>
      <c r="M70" s="24">
        <f>IFERROR(VLOOKUP(tblRiskRegister322[[#This Row],[Asset Class]],tblVCDBIndex[],4,FALSE),"")</f>
        <v>1</v>
      </c>
      <c r="N70" s="24" t="str">
        <f>IFERROR(VLOOKUP(10*tblRiskRegister322[[#This Row],[Safeguard Maturity Score]]+tblRiskRegister322[[#This Row],[VCDB Index]],tblHITIndexWeightTable[],4,FALSE),"")</f>
        <v/>
      </c>
      <c r="O70" s="24">
        <f>VLOOKUP(tblRiskRegister322[[#This Row],[Asset Class]],tblInherentImpacts3046[],2,FALSE)</f>
        <v>2</v>
      </c>
      <c r="P70" s="24">
        <f>VLOOKUP(tblRiskRegister322[[#This Row],[Asset Class]],tblInherentImpacts3046[],3,FALSE)</f>
        <v>1</v>
      </c>
      <c r="Q70" s="24">
        <f>VLOOKUP(tblRiskRegister322[[#This Row],[Asset Class]],tblInherentImpacts3046[],4,FALSE)</f>
        <v>3</v>
      </c>
      <c r="R70" s="24">
        <f>VLOOKUP(tblRiskRegister322[[#This Row],[Asset Class]],tblInherentImpacts3046[],5,FALSE)</f>
        <v>3</v>
      </c>
      <c r="S70" s="24" t="str">
        <f>IFERROR(MAX(tblRiskRegister322[[#This Row],[Impact to Mission]:[Impact to Obligations]])*tblRiskRegister322[[#This Row],[Expectancy Score]],"")</f>
        <v/>
      </c>
      <c r="T70" s="24" t="str">
        <f>tblRiskRegister322[[#This Row],[Risk Score]]</f>
        <v/>
      </c>
      <c r="U70" s="13"/>
      <c r="V70" s="50">
        <v>10.4</v>
      </c>
      <c r="W70" s="15" t="s">
        <v>190</v>
      </c>
      <c r="X70" s="15" t="s">
        <v>357</v>
      </c>
      <c r="Y70" s="26"/>
      <c r="Z70" s="16"/>
      <c r="AA70" s="23" t="str">
        <f>IFERROR(VLOOKUP(10*tblRiskRegister322[[#This Row],[Risk Treatment Safeguard Maturity Score]]+tblRiskRegister322[[#This Row],[VCDB Index]],tblHITIndexWeightTable[],4,FALSE),"")</f>
        <v/>
      </c>
      <c r="AB70" s="65"/>
      <c r="AC70" s="65"/>
      <c r="AD70" s="65"/>
      <c r="AE70" s="65"/>
      <c r="AF70" s="23" t="str">
        <f>IFERROR(MAX(tblRiskRegister322[[#This Row],[Risk Treatment Safeguard Impact to Mission]:[Risk Treatment Safeguard Impact to Obligations]])*tblRiskRegister322[[#This Row],[Risk Treatment
Safeguard Expectancy Score]],"")</f>
        <v/>
      </c>
      <c r="AG70" s="23" t="str">
        <f>IF(tblRiskRegister322[[#This Row],[Risk Score]]&gt;AcceptableRisk1,IF(tblRiskRegister322[[#This Row],[Risk Treatment Safeguard Risk Score]]&lt;AcceptableRisk1, IF(tblRiskRegister322[[#This Row],[Risk Treatment Safeguard Risk Score]]&lt;=tblRiskRegister322[[#This Row],[Risk Score]],"Yes","No"),"No"),"Yes")</f>
        <v>No</v>
      </c>
      <c r="AH70" s="17"/>
      <c r="AI70" s="17"/>
      <c r="AJ70" s="18"/>
    </row>
    <row r="71" spans="2:36" ht="42">
      <c r="B71" s="15" t="s">
        <v>91</v>
      </c>
      <c r="C71" s="15"/>
      <c r="D71" s="13">
        <v>10.5</v>
      </c>
      <c r="E71" s="14" t="s">
        <v>191</v>
      </c>
      <c r="F71" s="13"/>
      <c r="G71" s="13" t="s">
        <v>416</v>
      </c>
      <c r="H71" s="13" t="s">
        <v>512</v>
      </c>
      <c r="I71" s="14"/>
      <c r="J71" s="14"/>
      <c r="K71" s="14"/>
      <c r="L71" s="16"/>
      <c r="M71" s="24">
        <f>IFERROR(VLOOKUP(tblRiskRegister322[[#This Row],[Asset Class]],tblVCDBIndex[],4,FALSE),"")</f>
        <v>1</v>
      </c>
      <c r="N71" s="24" t="str">
        <f>IFERROR(VLOOKUP(10*tblRiskRegister322[[#This Row],[Safeguard Maturity Score]]+tblRiskRegister322[[#This Row],[VCDB Index]],tblHITIndexWeightTable[],4,FALSE),"")</f>
        <v/>
      </c>
      <c r="O71" s="24">
        <f>VLOOKUP(tblRiskRegister322[[#This Row],[Asset Class]],tblInherentImpacts3046[],2,FALSE)</f>
        <v>2</v>
      </c>
      <c r="P71" s="24">
        <f>VLOOKUP(tblRiskRegister322[[#This Row],[Asset Class]],tblInherentImpacts3046[],3,FALSE)</f>
        <v>1</v>
      </c>
      <c r="Q71" s="24">
        <f>VLOOKUP(tblRiskRegister322[[#This Row],[Asset Class]],tblInherentImpacts3046[],4,FALSE)</f>
        <v>3</v>
      </c>
      <c r="R71" s="24">
        <f>VLOOKUP(tblRiskRegister322[[#This Row],[Asset Class]],tblInherentImpacts3046[],5,FALSE)</f>
        <v>3</v>
      </c>
      <c r="S71" s="24" t="str">
        <f>IFERROR(MAX(tblRiskRegister322[[#This Row],[Impact to Mission]:[Impact to Obligations]])*tblRiskRegister322[[#This Row],[Expectancy Score]],"")</f>
        <v/>
      </c>
      <c r="T71" s="24" t="str">
        <f>tblRiskRegister322[[#This Row],[Risk Score]]</f>
        <v/>
      </c>
      <c r="U71" s="13"/>
      <c r="V71" s="50">
        <v>10.5</v>
      </c>
      <c r="W71" s="15" t="s">
        <v>191</v>
      </c>
      <c r="X71" s="15" t="s">
        <v>358</v>
      </c>
      <c r="Y71" s="26"/>
      <c r="Z71" s="16"/>
      <c r="AA71" s="23" t="str">
        <f>IFERROR(VLOOKUP(10*tblRiskRegister322[[#This Row],[Risk Treatment Safeguard Maturity Score]]+tblRiskRegister322[[#This Row],[VCDB Index]],tblHITIndexWeightTable[],4,FALSE),"")</f>
        <v/>
      </c>
      <c r="AB71" s="65"/>
      <c r="AC71" s="65"/>
      <c r="AD71" s="65"/>
      <c r="AE71" s="65"/>
      <c r="AF71" s="23" t="str">
        <f>IFERROR(MAX(tblRiskRegister322[[#This Row],[Risk Treatment Safeguard Impact to Mission]:[Risk Treatment Safeguard Impact to Obligations]])*tblRiskRegister322[[#This Row],[Risk Treatment
Safeguard Expectancy Score]],"")</f>
        <v/>
      </c>
      <c r="AG71" s="23" t="str">
        <f>IF(tblRiskRegister322[[#This Row],[Risk Score]]&gt;AcceptableRisk1,IF(tblRiskRegister322[[#This Row],[Risk Treatment Safeguard Risk Score]]&lt;AcceptableRisk1, IF(tblRiskRegister322[[#This Row],[Risk Treatment Safeguard Risk Score]]&lt;=tblRiskRegister322[[#This Row],[Risk Score]],"Yes","No"),"No"),"Yes")</f>
        <v>No</v>
      </c>
      <c r="AH71" s="17"/>
      <c r="AI71" s="17"/>
      <c r="AJ71" s="18"/>
    </row>
    <row r="72" spans="2:36" ht="28">
      <c r="B72" s="15" t="s">
        <v>91</v>
      </c>
      <c r="C72" s="15"/>
      <c r="D72" s="13">
        <v>10.6</v>
      </c>
      <c r="E72" s="14" t="s">
        <v>192</v>
      </c>
      <c r="F72" s="13"/>
      <c r="G72" s="13" t="s">
        <v>416</v>
      </c>
      <c r="H72" s="13" t="s">
        <v>512</v>
      </c>
      <c r="I72" s="14"/>
      <c r="J72" s="14"/>
      <c r="K72" s="14"/>
      <c r="L72" s="16"/>
      <c r="M72" s="24">
        <f>IFERROR(VLOOKUP(tblRiskRegister322[[#This Row],[Asset Class]],tblVCDBIndex[],4,FALSE),"")</f>
        <v>1</v>
      </c>
      <c r="N72" s="24" t="str">
        <f>IFERROR(VLOOKUP(10*tblRiskRegister322[[#This Row],[Safeguard Maturity Score]]+tblRiskRegister322[[#This Row],[VCDB Index]],tblHITIndexWeightTable[],4,FALSE),"")</f>
        <v/>
      </c>
      <c r="O72" s="24">
        <f>VLOOKUP(tblRiskRegister322[[#This Row],[Asset Class]],tblInherentImpacts3046[],2,FALSE)</f>
        <v>2</v>
      </c>
      <c r="P72" s="24">
        <f>VLOOKUP(tblRiskRegister322[[#This Row],[Asset Class]],tblInherentImpacts3046[],3,FALSE)</f>
        <v>1</v>
      </c>
      <c r="Q72" s="24">
        <f>VLOOKUP(tblRiskRegister322[[#This Row],[Asset Class]],tblInherentImpacts3046[],4,FALSE)</f>
        <v>3</v>
      </c>
      <c r="R72" s="24">
        <f>VLOOKUP(tblRiskRegister322[[#This Row],[Asset Class]],tblInherentImpacts3046[],5,FALSE)</f>
        <v>3</v>
      </c>
      <c r="S72" s="24" t="str">
        <f>IFERROR(MAX(tblRiskRegister322[[#This Row],[Impact to Mission]:[Impact to Obligations]])*tblRiskRegister322[[#This Row],[Expectancy Score]],"")</f>
        <v/>
      </c>
      <c r="T72" s="24" t="str">
        <f>tblRiskRegister322[[#This Row],[Risk Score]]</f>
        <v/>
      </c>
      <c r="U72" s="13"/>
      <c r="V72" s="50">
        <v>10.6</v>
      </c>
      <c r="W72" s="15" t="s">
        <v>192</v>
      </c>
      <c r="X72" s="15" t="s">
        <v>359</v>
      </c>
      <c r="Y72" s="26"/>
      <c r="Z72" s="16"/>
      <c r="AA72" s="23" t="str">
        <f>IFERROR(VLOOKUP(10*tblRiskRegister322[[#This Row],[Risk Treatment Safeguard Maturity Score]]+tblRiskRegister322[[#This Row],[VCDB Index]],tblHITIndexWeightTable[],4,FALSE),"")</f>
        <v/>
      </c>
      <c r="AB72" s="65"/>
      <c r="AC72" s="65"/>
      <c r="AD72" s="65"/>
      <c r="AE72" s="65"/>
      <c r="AF72" s="23" t="str">
        <f>IFERROR(MAX(tblRiskRegister322[[#This Row],[Risk Treatment Safeguard Impact to Mission]:[Risk Treatment Safeguard Impact to Obligations]])*tblRiskRegister322[[#This Row],[Risk Treatment
Safeguard Expectancy Score]],"")</f>
        <v/>
      </c>
      <c r="AG72" s="23" t="str">
        <f>IF(tblRiskRegister322[[#This Row],[Risk Score]]&gt;AcceptableRisk1,IF(tblRiskRegister322[[#This Row],[Risk Treatment Safeguard Risk Score]]&lt;AcceptableRisk1, IF(tblRiskRegister322[[#This Row],[Risk Treatment Safeguard Risk Score]]&lt;=tblRiskRegister322[[#This Row],[Risk Score]],"Yes","No"),"No"),"Yes")</f>
        <v>No</v>
      </c>
      <c r="AH72" s="17"/>
      <c r="AI72" s="17"/>
      <c r="AJ72" s="18"/>
    </row>
    <row r="73" spans="2:36" ht="28">
      <c r="B73" s="15" t="s">
        <v>91</v>
      </c>
      <c r="C73" s="15"/>
      <c r="D73" s="13">
        <v>10.7</v>
      </c>
      <c r="E73" s="14" t="s">
        <v>193</v>
      </c>
      <c r="F73" s="13"/>
      <c r="G73" s="13" t="s">
        <v>416</v>
      </c>
      <c r="H73" s="13" t="s">
        <v>513</v>
      </c>
      <c r="I73" s="14"/>
      <c r="J73" s="14"/>
      <c r="K73" s="14"/>
      <c r="L73" s="16"/>
      <c r="M73" s="24">
        <f>IFERROR(VLOOKUP(tblRiskRegister322[[#This Row],[Asset Class]],tblVCDBIndex[],4,FALSE),"")</f>
        <v>1</v>
      </c>
      <c r="N73" s="24" t="str">
        <f>IFERROR(VLOOKUP(10*tblRiskRegister322[[#This Row],[Safeguard Maturity Score]]+tblRiskRegister322[[#This Row],[VCDB Index]],tblHITIndexWeightTable[],4,FALSE),"")</f>
        <v/>
      </c>
      <c r="O73" s="24">
        <f>VLOOKUP(tblRiskRegister322[[#This Row],[Asset Class]],tblInherentImpacts3046[],2,FALSE)</f>
        <v>2</v>
      </c>
      <c r="P73" s="24">
        <f>VLOOKUP(tblRiskRegister322[[#This Row],[Asset Class]],tblInherentImpacts3046[],3,FALSE)</f>
        <v>1</v>
      </c>
      <c r="Q73" s="24">
        <f>VLOOKUP(tblRiskRegister322[[#This Row],[Asset Class]],tblInherentImpacts3046[],4,FALSE)</f>
        <v>3</v>
      </c>
      <c r="R73" s="24">
        <f>VLOOKUP(tblRiskRegister322[[#This Row],[Asset Class]],tblInherentImpacts3046[],5,FALSE)</f>
        <v>3</v>
      </c>
      <c r="S73" s="24" t="str">
        <f>IFERROR(MAX(tblRiskRegister322[[#This Row],[Impact to Mission]:[Impact to Obligations]])*tblRiskRegister322[[#This Row],[Expectancy Score]],"")</f>
        <v/>
      </c>
      <c r="T73" s="24" t="str">
        <f>tblRiskRegister322[[#This Row],[Risk Score]]</f>
        <v/>
      </c>
      <c r="U73" s="13"/>
      <c r="V73" s="50">
        <v>10.7</v>
      </c>
      <c r="W73" s="15" t="s">
        <v>193</v>
      </c>
      <c r="X73" s="15" t="s">
        <v>360</v>
      </c>
      <c r="Y73" s="26"/>
      <c r="Z73" s="16"/>
      <c r="AA73" s="23" t="str">
        <f>IFERROR(VLOOKUP(10*tblRiskRegister322[[#This Row],[Risk Treatment Safeguard Maturity Score]]+tblRiskRegister322[[#This Row],[VCDB Index]],tblHITIndexWeightTable[],4,FALSE),"")</f>
        <v/>
      </c>
      <c r="AB73" s="65"/>
      <c r="AC73" s="65"/>
      <c r="AD73" s="65"/>
      <c r="AE73" s="65"/>
      <c r="AF73" s="23" t="str">
        <f>IFERROR(MAX(tblRiskRegister322[[#This Row],[Risk Treatment Safeguard Impact to Mission]:[Risk Treatment Safeguard Impact to Obligations]])*tblRiskRegister322[[#This Row],[Risk Treatment
Safeguard Expectancy Score]],"")</f>
        <v/>
      </c>
      <c r="AG73" s="23" t="str">
        <f>IF(tblRiskRegister322[[#This Row],[Risk Score]]&gt;AcceptableRisk1,IF(tblRiskRegister322[[#This Row],[Risk Treatment Safeguard Risk Score]]&lt;AcceptableRisk1, IF(tblRiskRegister322[[#This Row],[Risk Treatment Safeguard Risk Score]]&lt;=tblRiskRegister322[[#This Row],[Risk Score]],"Yes","No"),"No"),"Yes")</f>
        <v>No</v>
      </c>
      <c r="AH73" s="17"/>
      <c r="AI73" s="17"/>
      <c r="AJ73" s="18"/>
    </row>
    <row r="74" spans="2:36" ht="42">
      <c r="B74" s="15" t="s">
        <v>91</v>
      </c>
      <c r="C74" s="15"/>
      <c r="D74" s="13">
        <v>12.7</v>
      </c>
      <c r="E74" s="14" t="s">
        <v>194</v>
      </c>
      <c r="F74" s="13"/>
      <c r="G74" s="13" t="s">
        <v>416</v>
      </c>
      <c r="H74" s="13" t="s">
        <v>512</v>
      </c>
      <c r="I74" s="14"/>
      <c r="J74" s="14"/>
      <c r="K74" s="14"/>
      <c r="L74" s="16"/>
      <c r="M74" s="24">
        <f>IFERROR(VLOOKUP(tblRiskRegister322[[#This Row],[Asset Class]],tblVCDBIndex[],4,FALSE),"")</f>
        <v>1</v>
      </c>
      <c r="N74" s="24" t="str">
        <f>IFERROR(VLOOKUP(10*tblRiskRegister322[[#This Row],[Safeguard Maturity Score]]+tblRiskRegister322[[#This Row],[VCDB Index]],tblHITIndexWeightTable[],4,FALSE),"")</f>
        <v/>
      </c>
      <c r="O74" s="24">
        <f>VLOOKUP(tblRiskRegister322[[#This Row],[Asset Class]],tblInherentImpacts3046[],2,FALSE)</f>
        <v>2</v>
      </c>
      <c r="P74" s="24">
        <f>VLOOKUP(tblRiskRegister322[[#This Row],[Asset Class]],tblInherentImpacts3046[],3,FALSE)</f>
        <v>1</v>
      </c>
      <c r="Q74" s="24">
        <f>VLOOKUP(tblRiskRegister322[[#This Row],[Asset Class]],tblInherentImpacts3046[],4,FALSE)</f>
        <v>3</v>
      </c>
      <c r="R74" s="24">
        <f>VLOOKUP(tblRiskRegister322[[#This Row],[Asset Class]],tblInherentImpacts3046[],5,FALSE)</f>
        <v>3</v>
      </c>
      <c r="S74" s="24" t="str">
        <f>IFERROR(MAX(tblRiskRegister322[[#This Row],[Impact to Mission]:[Impact to Obligations]])*tblRiskRegister322[[#This Row],[Expectancy Score]],"")</f>
        <v/>
      </c>
      <c r="T74" s="24" t="str">
        <f>tblRiskRegister322[[#This Row],[Risk Score]]</f>
        <v/>
      </c>
      <c r="U74" s="13"/>
      <c r="V74" s="50">
        <v>12.7</v>
      </c>
      <c r="W74" s="15" t="s">
        <v>194</v>
      </c>
      <c r="X74" s="15" t="s">
        <v>372</v>
      </c>
      <c r="Y74" s="26"/>
      <c r="Z74" s="16"/>
      <c r="AA74" s="23" t="str">
        <f>IFERROR(VLOOKUP(10*tblRiskRegister322[[#This Row],[Risk Treatment Safeguard Maturity Score]]+tblRiskRegister322[[#This Row],[VCDB Index]],tblHITIndexWeightTable[],4,FALSE),"")</f>
        <v/>
      </c>
      <c r="AB74" s="65"/>
      <c r="AC74" s="65"/>
      <c r="AD74" s="65"/>
      <c r="AE74" s="65"/>
      <c r="AF74" s="23" t="str">
        <f>IFERROR(MAX(tblRiskRegister322[[#This Row],[Risk Treatment Safeguard Impact to Mission]:[Risk Treatment Safeguard Impact to Obligations]])*tblRiskRegister322[[#This Row],[Risk Treatment
Safeguard Expectancy Score]],"")</f>
        <v/>
      </c>
      <c r="AG74" s="23" t="str">
        <f>IF(tblRiskRegister322[[#This Row],[Risk Score]]&gt;AcceptableRisk1,IF(tblRiskRegister322[[#This Row],[Risk Treatment Safeguard Risk Score]]&lt;AcceptableRisk1, IF(tblRiskRegister322[[#This Row],[Risk Treatment Safeguard Risk Score]]&lt;=tblRiskRegister322[[#This Row],[Risk Score]],"Yes","No"),"No"),"Yes")</f>
        <v>No</v>
      </c>
      <c r="AH74" s="17"/>
      <c r="AI74" s="17"/>
      <c r="AJ74" s="18"/>
    </row>
    <row r="75" spans="2:36" ht="28">
      <c r="B75" s="15" t="s">
        <v>91</v>
      </c>
      <c r="C75" s="15"/>
      <c r="D75" s="13">
        <v>13.2</v>
      </c>
      <c r="E75" s="14" t="s">
        <v>195</v>
      </c>
      <c r="F75" s="13"/>
      <c r="G75" s="13" t="s">
        <v>416</v>
      </c>
      <c r="H75" s="13" t="s">
        <v>513</v>
      </c>
      <c r="I75" s="14"/>
      <c r="J75" s="14"/>
      <c r="K75" s="14"/>
      <c r="L75" s="16"/>
      <c r="M75" s="24">
        <f>IFERROR(VLOOKUP(tblRiskRegister322[[#This Row],[Asset Class]],tblVCDBIndex[],4,FALSE),"")</f>
        <v>1</v>
      </c>
      <c r="N75" s="24" t="str">
        <f>IFERROR(VLOOKUP(10*tblRiskRegister322[[#This Row],[Safeguard Maturity Score]]+tblRiskRegister322[[#This Row],[VCDB Index]],tblHITIndexWeightTable[],4,FALSE),"")</f>
        <v/>
      </c>
      <c r="O75" s="24">
        <f>VLOOKUP(tblRiskRegister322[[#This Row],[Asset Class]],tblInherentImpacts3046[],2,FALSE)</f>
        <v>2</v>
      </c>
      <c r="P75" s="24">
        <f>VLOOKUP(tblRiskRegister322[[#This Row],[Asset Class]],tblInherentImpacts3046[],3,FALSE)</f>
        <v>1</v>
      </c>
      <c r="Q75" s="24">
        <f>VLOOKUP(tblRiskRegister322[[#This Row],[Asset Class]],tblInherentImpacts3046[],4,FALSE)</f>
        <v>3</v>
      </c>
      <c r="R75" s="24">
        <f>VLOOKUP(tblRiskRegister322[[#This Row],[Asset Class]],tblInherentImpacts3046[],5,FALSE)</f>
        <v>3</v>
      </c>
      <c r="S75" s="24" t="str">
        <f>IFERROR(MAX(tblRiskRegister322[[#This Row],[Impact to Mission]:[Impact to Obligations]])*tblRiskRegister322[[#This Row],[Expectancy Score]],"")</f>
        <v/>
      </c>
      <c r="T75" s="24" t="str">
        <f>tblRiskRegister322[[#This Row],[Risk Score]]</f>
        <v/>
      </c>
      <c r="U75" s="13"/>
      <c r="V75" s="50">
        <v>13.2</v>
      </c>
      <c r="W75" s="15" t="s">
        <v>195</v>
      </c>
      <c r="X75" s="15" t="s">
        <v>374</v>
      </c>
      <c r="Y75" s="26"/>
      <c r="Z75" s="16"/>
      <c r="AA75" s="23" t="str">
        <f>IFERROR(VLOOKUP(10*tblRiskRegister322[[#This Row],[Risk Treatment Safeguard Maturity Score]]+tblRiskRegister322[[#This Row],[VCDB Index]],tblHITIndexWeightTable[],4,FALSE),"")</f>
        <v/>
      </c>
      <c r="AB75" s="65"/>
      <c r="AC75" s="65"/>
      <c r="AD75" s="65"/>
      <c r="AE75" s="65"/>
      <c r="AF75" s="23" t="str">
        <f>IFERROR(MAX(tblRiskRegister322[[#This Row],[Risk Treatment Safeguard Impact to Mission]:[Risk Treatment Safeguard Impact to Obligations]])*tblRiskRegister322[[#This Row],[Risk Treatment
Safeguard Expectancy Score]],"")</f>
        <v/>
      </c>
      <c r="AG75" s="23" t="str">
        <f>IF(tblRiskRegister322[[#This Row],[Risk Score]]&gt;AcceptableRisk1,IF(tblRiskRegister322[[#This Row],[Risk Treatment Safeguard Risk Score]]&lt;AcceptableRisk1, IF(tblRiskRegister322[[#This Row],[Risk Treatment Safeguard Risk Score]]&lt;=tblRiskRegister322[[#This Row],[Risk Score]],"Yes","No"),"No"),"Yes")</f>
        <v>No</v>
      </c>
      <c r="AH75" s="17"/>
      <c r="AI75" s="17"/>
      <c r="AJ75" s="18"/>
    </row>
    <row r="76" spans="2:36" ht="56">
      <c r="B76" s="15" t="s">
        <v>91</v>
      </c>
      <c r="C76" s="15"/>
      <c r="D76" s="13">
        <v>13.5</v>
      </c>
      <c r="E76" s="14" t="s">
        <v>196</v>
      </c>
      <c r="F76" s="13"/>
      <c r="G76" s="13" t="s">
        <v>416</v>
      </c>
      <c r="H76" s="13" t="s">
        <v>512</v>
      </c>
      <c r="I76" s="14"/>
      <c r="J76" s="14"/>
      <c r="K76" s="14"/>
      <c r="L76" s="16"/>
      <c r="M76" s="24">
        <f>IFERROR(VLOOKUP(tblRiskRegister322[[#This Row],[Asset Class]],tblVCDBIndex[],4,FALSE),"")</f>
        <v>1</v>
      </c>
      <c r="N76" s="24" t="str">
        <f>IFERROR(VLOOKUP(10*tblRiskRegister322[[#This Row],[Safeguard Maturity Score]]+tblRiskRegister322[[#This Row],[VCDB Index]],tblHITIndexWeightTable[],4,FALSE),"")</f>
        <v/>
      </c>
      <c r="O76" s="24">
        <f>VLOOKUP(tblRiskRegister322[[#This Row],[Asset Class]],tblInherentImpacts3046[],2,FALSE)</f>
        <v>2</v>
      </c>
      <c r="P76" s="24">
        <f>VLOOKUP(tblRiskRegister322[[#This Row],[Asset Class]],tblInherentImpacts3046[],3,FALSE)</f>
        <v>1</v>
      </c>
      <c r="Q76" s="24">
        <f>VLOOKUP(tblRiskRegister322[[#This Row],[Asset Class]],tblInherentImpacts3046[],4,FALSE)</f>
        <v>3</v>
      </c>
      <c r="R76" s="24">
        <f>VLOOKUP(tblRiskRegister322[[#This Row],[Asset Class]],tblInherentImpacts3046[],5,FALSE)</f>
        <v>3</v>
      </c>
      <c r="S76" s="24" t="str">
        <f>IFERROR(MAX(tblRiskRegister322[[#This Row],[Impact to Mission]:[Impact to Obligations]])*tblRiskRegister322[[#This Row],[Expectancy Score]],"")</f>
        <v/>
      </c>
      <c r="T76" s="24" t="str">
        <f>tblRiskRegister322[[#This Row],[Risk Score]]</f>
        <v/>
      </c>
      <c r="U76" s="13"/>
      <c r="V76" s="50">
        <v>13.5</v>
      </c>
      <c r="W76" s="15" t="s">
        <v>196</v>
      </c>
      <c r="X76" s="15" t="s">
        <v>377</v>
      </c>
      <c r="Y76" s="26"/>
      <c r="Z76" s="16"/>
      <c r="AA76" s="23" t="str">
        <f>IFERROR(VLOOKUP(10*tblRiskRegister322[[#This Row],[Risk Treatment Safeguard Maturity Score]]+tblRiskRegister322[[#This Row],[VCDB Index]],tblHITIndexWeightTable[],4,FALSE),"")</f>
        <v/>
      </c>
      <c r="AB76" s="65"/>
      <c r="AC76" s="65"/>
      <c r="AD76" s="65"/>
      <c r="AE76" s="65"/>
      <c r="AF76" s="23" t="str">
        <f>IFERROR(MAX(tblRiskRegister322[[#This Row],[Risk Treatment Safeguard Impact to Mission]:[Risk Treatment Safeguard Impact to Obligations]])*tblRiskRegister322[[#This Row],[Risk Treatment
Safeguard Expectancy Score]],"")</f>
        <v/>
      </c>
      <c r="AG76" s="23" t="str">
        <f>IF(tblRiskRegister322[[#This Row],[Risk Score]]&gt;AcceptableRisk1,IF(tblRiskRegister322[[#This Row],[Risk Treatment Safeguard Risk Score]]&lt;AcceptableRisk1, IF(tblRiskRegister322[[#This Row],[Risk Treatment Safeguard Risk Score]]&lt;=tblRiskRegister322[[#This Row],[Risk Score]],"Yes","No"),"No"),"Yes")</f>
        <v>No</v>
      </c>
      <c r="AH76" s="17"/>
      <c r="AI76" s="17"/>
      <c r="AJ76" s="18"/>
    </row>
    <row r="77" spans="2:36" ht="70">
      <c r="B77" s="15" t="s">
        <v>95</v>
      </c>
      <c r="C77" s="15"/>
      <c r="D77" s="13">
        <v>14.1</v>
      </c>
      <c r="E77" s="14" t="s">
        <v>78</v>
      </c>
      <c r="F77" s="13" t="s">
        <v>416</v>
      </c>
      <c r="G77" s="13" t="s">
        <v>416</v>
      </c>
      <c r="H77" s="13" t="s">
        <v>512</v>
      </c>
      <c r="I77" s="14"/>
      <c r="J77" s="14"/>
      <c r="K77" s="14"/>
      <c r="L77" s="16"/>
      <c r="M77" s="24">
        <f>IFERROR(VLOOKUP(tblRiskRegister322[[#This Row],[Asset Class]],tblVCDBIndex[],4,FALSE),"")</f>
        <v>3</v>
      </c>
      <c r="N77" s="24" t="str">
        <f>IFERROR(VLOOKUP(10*tblRiskRegister322[[#This Row],[Safeguard Maturity Score]]+tblRiskRegister322[[#This Row],[VCDB Index]],tblHITIndexWeightTable[],4,FALSE),"")</f>
        <v/>
      </c>
      <c r="O77" s="24">
        <f>VLOOKUP(tblRiskRegister322[[#This Row],[Asset Class]],tblInherentImpacts3046[],2,FALSE)</f>
        <v>4</v>
      </c>
      <c r="P77" s="24">
        <f>VLOOKUP(tblRiskRegister322[[#This Row],[Asset Class]],tblInherentImpacts3046[],3,FALSE)</f>
        <v>4</v>
      </c>
      <c r="Q77" s="24">
        <f>VLOOKUP(tblRiskRegister322[[#This Row],[Asset Class]],tblInherentImpacts3046[],4,FALSE)</f>
        <v>5</v>
      </c>
      <c r="R77" s="24">
        <f>VLOOKUP(tblRiskRegister322[[#This Row],[Asset Class]],tblInherentImpacts3046[],5,FALSE)</f>
        <v>5</v>
      </c>
      <c r="S77" s="24" t="str">
        <f>IFERROR(MAX(tblRiskRegister322[[#This Row],[Impact to Mission]:[Impact to Obligations]])*tblRiskRegister322[[#This Row],[Expectancy Score]],"")</f>
        <v/>
      </c>
      <c r="T77" s="24" t="str">
        <f>tblRiskRegister322[[#This Row],[Risk Score]]</f>
        <v/>
      </c>
      <c r="U77" s="13"/>
      <c r="V77" s="50">
        <v>14.1</v>
      </c>
      <c r="W77" s="15" t="s">
        <v>78</v>
      </c>
      <c r="X77" s="15" t="s">
        <v>379</v>
      </c>
      <c r="Y77" s="26"/>
      <c r="Z77" s="16"/>
      <c r="AA77" s="23" t="str">
        <f>IFERROR(VLOOKUP(10*tblRiskRegister322[[#This Row],[Risk Treatment Safeguard Maturity Score]]+tblRiskRegister322[[#This Row],[VCDB Index]],tblHITIndexWeightTable[],4,FALSE),"")</f>
        <v/>
      </c>
      <c r="AB77" s="65"/>
      <c r="AC77" s="65"/>
      <c r="AD77" s="65"/>
      <c r="AE77" s="65"/>
      <c r="AF77" s="23" t="str">
        <f>IFERROR(MAX(tblRiskRegister322[[#This Row],[Risk Treatment Safeguard Impact to Mission]:[Risk Treatment Safeguard Impact to Obligations]])*tblRiskRegister322[[#This Row],[Risk Treatment
Safeguard Expectancy Score]],"")</f>
        <v/>
      </c>
      <c r="AG77" s="23" t="str">
        <f>IF(tblRiskRegister322[[#This Row],[Risk Score]]&gt;AcceptableRisk1,IF(tblRiskRegister322[[#This Row],[Risk Treatment Safeguard Risk Score]]&lt;AcceptableRisk1, IF(tblRiskRegister322[[#This Row],[Risk Treatment Safeguard Risk Score]]&lt;=tblRiskRegister322[[#This Row],[Risk Score]],"Yes","No"),"No"),"Yes")</f>
        <v>No</v>
      </c>
      <c r="AH77" s="17"/>
      <c r="AI77" s="17"/>
      <c r="AJ77" s="18"/>
    </row>
    <row r="78" spans="2:36" ht="42">
      <c r="B78" s="15" t="s">
        <v>95</v>
      </c>
      <c r="C78" s="15"/>
      <c r="D78" s="13">
        <v>14.2</v>
      </c>
      <c r="E78" s="14" t="s">
        <v>79</v>
      </c>
      <c r="F78" s="13" t="s">
        <v>416</v>
      </c>
      <c r="G78" s="13" t="s">
        <v>416</v>
      </c>
      <c r="H78" s="13" t="s">
        <v>512</v>
      </c>
      <c r="I78" s="14"/>
      <c r="J78" s="14"/>
      <c r="K78" s="14"/>
      <c r="L78" s="16"/>
      <c r="M78" s="24">
        <f>IFERROR(VLOOKUP(tblRiskRegister322[[#This Row],[Asset Class]],tblVCDBIndex[],4,FALSE),"")</f>
        <v>3</v>
      </c>
      <c r="N78" s="24" t="str">
        <f>IFERROR(VLOOKUP(10*tblRiskRegister322[[#This Row],[Safeguard Maturity Score]]+tblRiskRegister322[[#This Row],[VCDB Index]],tblHITIndexWeightTable[],4,FALSE),"")</f>
        <v/>
      </c>
      <c r="O78" s="24">
        <f>VLOOKUP(tblRiskRegister322[[#This Row],[Asset Class]],tblInherentImpacts3046[],2,FALSE)</f>
        <v>4</v>
      </c>
      <c r="P78" s="24">
        <f>VLOOKUP(tblRiskRegister322[[#This Row],[Asset Class]],tblInherentImpacts3046[],3,FALSE)</f>
        <v>4</v>
      </c>
      <c r="Q78" s="24">
        <f>VLOOKUP(tblRiskRegister322[[#This Row],[Asset Class]],tblInherentImpacts3046[],4,FALSE)</f>
        <v>5</v>
      </c>
      <c r="R78" s="24">
        <f>VLOOKUP(tblRiskRegister322[[#This Row],[Asset Class]],tblInherentImpacts3046[],5,FALSE)</f>
        <v>5</v>
      </c>
      <c r="S78" s="24" t="str">
        <f>IFERROR(MAX(tblRiskRegister322[[#This Row],[Impact to Mission]:[Impact to Obligations]])*tblRiskRegister322[[#This Row],[Expectancy Score]],"")</f>
        <v/>
      </c>
      <c r="T78" s="24" t="str">
        <f>tblRiskRegister322[[#This Row],[Risk Score]]</f>
        <v/>
      </c>
      <c r="U78" s="13"/>
      <c r="V78" s="50">
        <v>14.2</v>
      </c>
      <c r="W78" s="15" t="s">
        <v>79</v>
      </c>
      <c r="X78" s="15" t="s">
        <v>380</v>
      </c>
      <c r="Y78" s="26"/>
      <c r="Z78" s="16"/>
      <c r="AA78" s="23" t="str">
        <f>IFERROR(VLOOKUP(10*tblRiskRegister322[[#This Row],[Risk Treatment Safeguard Maturity Score]]+tblRiskRegister322[[#This Row],[VCDB Index]],tblHITIndexWeightTable[],4,FALSE),"")</f>
        <v/>
      </c>
      <c r="AB78" s="65"/>
      <c r="AC78" s="65"/>
      <c r="AD78" s="65"/>
      <c r="AE78" s="65"/>
      <c r="AF78" s="23" t="str">
        <f>IFERROR(MAX(tblRiskRegister322[[#This Row],[Risk Treatment Safeguard Impact to Mission]:[Risk Treatment Safeguard Impact to Obligations]])*tblRiskRegister322[[#This Row],[Risk Treatment
Safeguard Expectancy Score]],"")</f>
        <v/>
      </c>
      <c r="AG78" s="23" t="str">
        <f>IF(tblRiskRegister322[[#This Row],[Risk Score]]&gt;AcceptableRisk1,IF(tblRiskRegister322[[#This Row],[Risk Treatment Safeguard Risk Score]]&lt;AcceptableRisk1, IF(tblRiskRegister322[[#This Row],[Risk Treatment Safeguard Risk Score]]&lt;=tblRiskRegister322[[#This Row],[Risk Score]],"Yes","No"),"No"),"Yes")</f>
        <v>No</v>
      </c>
      <c r="AH78" s="17"/>
      <c r="AI78" s="17"/>
      <c r="AJ78" s="18"/>
    </row>
    <row r="79" spans="2:36" ht="28">
      <c r="B79" s="15" t="s">
        <v>95</v>
      </c>
      <c r="C79" s="15"/>
      <c r="D79" s="13">
        <v>14.3</v>
      </c>
      <c r="E79" s="14" t="s">
        <v>80</v>
      </c>
      <c r="F79" s="13" t="s">
        <v>416</v>
      </c>
      <c r="G79" s="13" t="s">
        <v>416</v>
      </c>
      <c r="H79" s="13" t="s">
        <v>512</v>
      </c>
      <c r="I79" s="14"/>
      <c r="J79" s="14"/>
      <c r="K79" s="14"/>
      <c r="L79" s="16"/>
      <c r="M79" s="24">
        <f>IFERROR(VLOOKUP(tblRiskRegister322[[#This Row],[Asset Class]],tblVCDBIndex[],4,FALSE),"")</f>
        <v>3</v>
      </c>
      <c r="N79" s="24" t="str">
        <f>IFERROR(VLOOKUP(10*tblRiskRegister322[[#This Row],[Safeguard Maturity Score]]+tblRiskRegister322[[#This Row],[VCDB Index]],tblHITIndexWeightTable[],4,FALSE),"")</f>
        <v/>
      </c>
      <c r="O79" s="24">
        <f>VLOOKUP(tblRiskRegister322[[#This Row],[Asset Class]],tblInherentImpacts3046[],2,FALSE)</f>
        <v>4</v>
      </c>
      <c r="P79" s="24">
        <f>VLOOKUP(tblRiskRegister322[[#This Row],[Asset Class]],tblInherentImpacts3046[],3,FALSE)</f>
        <v>4</v>
      </c>
      <c r="Q79" s="24">
        <f>VLOOKUP(tblRiskRegister322[[#This Row],[Asset Class]],tblInherentImpacts3046[],4,FALSE)</f>
        <v>5</v>
      </c>
      <c r="R79" s="24">
        <f>VLOOKUP(tblRiskRegister322[[#This Row],[Asset Class]],tblInherentImpacts3046[],5,FALSE)</f>
        <v>5</v>
      </c>
      <c r="S79" s="24" t="str">
        <f>IFERROR(MAX(tblRiskRegister322[[#This Row],[Impact to Mission]:[Impact to Obligations]])*tblRiskRegister322[[#This Row],[Expectancy Score]],"")</f>
        <v/>
      </c>
      <c r="T79" s="24" t="str">
        <f>tblRiskRegister322[[#This Row],[Risk Score]]</f>
        <v/>
      </c>
      <c r="U79" s="13"/>
      <c r="V79" s="50">
        <v>14.3</v>
      </c>
      <c r="W79" s="15" t="s">
        <v>80</v>
      </c>
      <c r="X79" s="15" t="s">
        <v>381</v>
      </c>
      <c r="Y79" s="26"/>
      <c r="Z79" s="16"/>
      <c r="AA79" s="23" t="str">
        <f>IFERROR(VLOOKUP(10*tblRiskRegister322[[#This Row],[Risk Treatment Safeguard Maturity Score]]+tblRiskRegister322[[#This Row],[VCDB Index]],tblHITIndexWeightTable[],4,FALSE),"")</f>
        <v/>
      </c>
      <c r="AB79" s="65"/>
      <c r="AC79" s="65"/>
      <c r="AD79" s="65"/>
      <c r="AE79" s="65"/>
      <c r="AF79" s="23" t="str">
        <f>IFERROR(MAX(tblRiskRegister322[[#This Row],[Risk Treatment Safeguard Impact to Mission]:[Risk Treatment Safeguard Impact to Obligations]])*tblRiskRegister322[[#This Row],[Risk Treatment
Safeguard Expectancy Score]],"")</f>
        <v/>
      </c>
      <c r="AG79" s="23" t="str">
        <f>IF(tblRiskRegister322[[#This Row],[Risk Score]]&gt;AcceptableRisk1,IF(tblRiskRegister322[[#This Row],[Risk Treatment Safeguard Risk Score]]&lt;AcceptableRisk1, IF(tblRiskRegister322[[#This Row],[Risk Treatment Safeguard Risk Score]]&lt;=tblRiskRegister322[[#This Row],[Risk Score]],"Yes","No"),"No"),"Yes")</f>
        <v>No</v>
      </c>
      <c r="AH79" s="17"/>
      <c r="AI79" s="17"/>
      <c r="AJ79" s="18"/>
    </row>
    <row r="80" spans="2:36" ht="56">
      <c r="B80" s="15" t="s">
        <v>95</v>
      </c>
      <c r="C80" s="15"/>
      <c r="D80" s="13">
        <v>14.4</v>
      </c>
      <c r="E80" s="14" t="s">
        <v>81</v>
      </c>
      <c r="F80" s="13" t="s">
        <v>416</v>
      </c>
      <c r="G80" s="13" t="s">
        <v>416</v>
      </c>
      <c r="H80" s="13" t="s">
        <v>512</v>
      </c>
      <c r="I80" s="14"/>
      <c r="J80" s="14"/>
      <c r="K80" s="14"/>
      <c r="L80" s="16"/>
      <c r="M80" s="24">
        <f>IFERROR(VLOOKUP(tblRiskRegister322[[#This Row],[Asset Class]],tblVCDBIndex[],4,FALSE),"")</f>
        <v>3</v>
      </c>
      <c r="N80" s="24" t="str">
        <f>IFERROR(VLOOKUP(10*tblRiskRegister322[[#This Row],[Safeguard Maturity Score]]+tblRiskRegister322[[#This Row],[VCDB Index]],tblHITIndexWeightTable[],4,FALSE),"")</f>
        <v/>
      </c>
      <c r="O80" s="24">
        <f>VLOOKUP(tblRiskRegister322[[#This Row],[Asset Class]],tblInherentImpacts3046[],2,FALSE)</f>
        <v>4</v>
      </c>
      <c r="P80" s="24">
        <f>VLOOKUP(tblRiskRegister322[[#This Row],[Asset Class]],tblInherentImpacts3046[],3,FALSE)</f>
        <v>4</v>
      </c>
      <c r="Q80" s="24">
        <f>VLOOKUP(tblRiskRegister322[[#This Row],[Asset Class]],tblInherentImpacts3046[],4,FALSE)</f>
        <v>5</v>
      </c>
      <c r="R80" s="24">
        <f>VLOOKUP(tblRiskRegister322[[#This Row],[Asset Class]],tblInherentImpacts3046[],5,FALSE)</f>
        <v>5</v>
      </c>
      <c r="S80" s="24" t="str">
        <f>IFERROR(MAX(tblRiskRegister322[[#This Row],[Impact to Mission]:[Impact to Obligations]])*tblRiskRegister322[[#This Row],[Expectancy Score]],"")</f>
        <v/>
      </c>
      <c r="T80" s="24" t="str">
        <f>tblRiskRegister322[[#This Row],[Risk Score]]</f>
        <v/>
      </c>
      <c r="U80" s="13"/>
      <c r="V80" s="50">
        <v>14.4</v>
      </c>
      <c r="W80" s="15" t="s">
        <v>81</v>
      </c>
      <c r="X80" s="15" t="s">
        <v>382</v>
      </c>
      <c r="Y80" s="26"/>
      <c r="Z80" s="16"/>
      <c r="AA80" s="23" t="str">
        <f>IFERROR(VLOOKUP(10*tblRiskRegister322[[#This Row],[Risk Treatment Safeguard Maturity Score]]+tblRiskRegister322[[#This Row],[VCDB Index]],tblHITIndexWeightTable[],4,FALSE),"")</f>
        <v/>
      </c>
      <c r="AB80" s="65"/>
      <c r="AC80" s="65"/>
      <c r="AD80" s="65"/>
      <c r="AE80" s="65"/>
      <c r="AF80" s="23" t="str">
        <f>IFERROR(MAX(tblRiskRegister322[[#This Row],[Risk Treatment Safeguard Impact to Mission]:[Risk Treatment Safeguard Impact to Obligations]])*tblRiskRegister322[[#This Row],[Risk Treatment
Safeguard Expectancy Score]],"")</f>
        <v/>
      </c>
      <c r="AG80" s="23" t="str">
        <f>IF(tblRiskRegister322[[#This Row],[Risk Score]]&gt;AcceptableRisk1,IF(tblRiskRegister322[[#This Row],[Risk Treatment Safeguard Risk Score]]&lt;AcceptableRisk1, IF(tblRiskRegister322[[#This Row],[Risk Treatment Safeguard Risk Score]]&lt;=tblRiskRegister322[[#This Row],[Risk Score]],"Yes","No"),"No"),"Yes")</f>
        <v>No</v>
      </c>
      <c r="AH80" s="17"/>
      <c r="AI80" s="17"/>
      <c r="AJ80" s="18"/>
    </row>
    <row r="81" spans="2:36" ht="42">
      <c r="B81" s="15" t="s">
        <v>95</v>
      </c>
      <c r="C81" s="15"/>
      <c r="D81" s="13">
        <v>14.5</v>
      </c>
      <c r="E81" s="14" t="s">
        <v>82</v>
      </c>
      <c r="F81" s="13" t="s">
        <v>416</v>
      </c>
      <c r="G81" s="13" t="s">
        <v>416</v>
      </c>
      <c r="H81" s="13" t="s">
        <v>512</v>
      </c>
      <c r="I81" s="14"/>
      <c r="J81" s="14"/>
      <c r="K81" s="14"/>
      <c r="L81" s="16"/>
      <c r="M81" s="24">
        <f>IFERROR(VLOOKUP(tblRiskRegister322[[#This Row],[Asset Class]],tblVCDBIndex[],4,FALSE),"")</f>
        <v>3</v>
      </c>
      <c r="N81" s="24" t="str">
        <f>IFERROR(VLOOKUP(10*tblRiskRegister322[[#This Row],[Safeguard Maturity Score]]+tblRiskRegister322[[#This Row],[VCDB Index]],tblHITIndexWeightTable[],4,FALSE),"")</f>
        <v/>
      </c>
      <c r="O81" s="24">
        <f>VLOOKUP(tblRiskRegister322[[#This Row],[Asset Class]],tblInherentImpacts3046[],2,FALSE)</f>
        <v>4</v>
      </c>
      <c r="P81" s="24">
        <f>VLOOKUP(tblRiskRegister322[[#This Row],[Asset Class]],tblInherentImpacts3046[],3,FALSE)</f>
        <v>4</v>
      </c>
      <c r="Q81" s="24">
        <f>VLOOKUP(tblRiskRegister322[[#This Row],[Asset Class]],tblInherentImpacts3046[],4,FALSE)</f>
        <v>5</v>
      </c>
      <c r="R81" s="24">
        <f>VLOOKUP(tblRiskRegister322[[#This Row],[Asset Class]],tblInherentImpacts3046[],5,FALSE)</f>
        <v>5</v>
      </c>
      <c r="S81" s="24" t="str">
        <f>IFERROR(MAX(tblRiskRegister322[[#This Row],[Impact to Mission]:[Impact to Obligations]])*tblRiskRegister322[[#This Row],[Expectancy Score]],"")</f>
        <v/>
      </c>
      <c r="T81" s="24" t="str">
        <f>tblRiskRegister322[[#This Row],[Risk Score]]</f>
        <v/>
      </c>
      <c r="U81" s="13"/>
      <c r="V81" s="50">
        <v>14.5</v>
      </c>
      <c r="W81" s="15" t="s">
        <v>82</v>
      </c>
      <c r="X81" s="15" t="s">
        <v>383</v>
      </c>
      <c r="Y81" s="26"/>
      <c r="Z81" s="16"/>
      <c r="AA81" s="23" t="str">
        <f>IFERROR(VLOOKUP(10*tblRiskRegister322[[#This Row],[Risk Treatment Safeguard Maturity Score]]+tblRiskRegister322[[#This Row],[VCDB Index]],tblHITIndexWeightTable[],4,FALSE),"")</f>
        <v/>
      </c>
      <c r="AB81" s="65"/>
      <c r="AC81" s="65"/>
      <c r="AD81" s="65"/>
      <c r="AE81" s="65"/>
      <c r="AF81" s="23" t="str">
        <f>IFERROR(MAX(tblRiskRegister322[[#This Row],[Risk Treatment Safeguard Impact to Mission]:[Risk Treatment Safeguard Impact to Obligations]])*tblRiskRegister322[[#This Row],[Risk Treatment
Safeguard Expectancy Score]],"")</f>
        <v/>
      </c>
      <c r="AG81" s="23" t="str">
        <f>IF(tblRiskRegister322[[#This Row],[Risk Score]]&gt;AcceptableRisk1,IF(tblRiskRegister322[[#This Row],[Risk Treatment Safeguard Risk Score]]&lt;AcceptableRisk1, IF(tblRiskRegister322[[#This Row],[Risk Treatment Safeguard Risk Score]]&lt;=tblRiskRegister322[[#This Row],[Risk Score]],"Yes","No"),"No"),"Yes")</f>
        <v>No</v>
      </c>
      <c r="AH81" s="17"/>
      <c r="AI81" s="17"/>
      <c r="AJ81" s="18"/>
    </row>
    <row r="82" spans="2:36" ht="42">
      <c r="B82" s="15" t="s">
        <v>95</v>
      </c>
      <c r="C82" s="15"/>
      <c r="D82" s="13">
        <v>14.6</v>
      </c>
      <c r="E82" s="14" t="s">
        <v>83</v>
      </c>
      <c r="F82" s="13" t="s">
        <v>416</v>
      </c>
      <c r="G82" s="13" t="s">
        <v>416</v>
      </c>
      <c r="H82" s="13" t="s">
        <v>512</v>
      </c>
      <c r="I82" s="14"/>
      <c r="J82" s="14"/>
      <c r="K82" s="14"/>
      <c r="L82" s="16"/>
      <c r="M82" s="24">
        <f>IFERROR(VLOOKUP(tblRiskRegister322[[#This Row],[Asset Class]],tblVCDBIndex[],4,FALSE),"")</f>
        <v>3</v>
      </c>
      <c r="N82" s="24" t="str">
        <f>IFERROR(VLOOKUP(10*tblRiskRegister322[[#This Row],[Safeguard Maturity Score]]+tblRiskRegister322[[#This Row],[VCDB Index]],tblHITIndexWeightTable[],4,FALSE),"")</f>
        <v/>
      </c>
      <c r="O82" s="24">
        <f>VLOOKUP(tblRiskRegister322[[#This Row],[Asset Class]],tblInherentImpacts3046[],2,FALSE)</f>
        <v>4</v>
      </c>
      <c r="P82" s="24">
        <f>VLOOKUP(tblRiskRegister322[[#This Row],[Asset Class]],tblInherentImpacts3046[],3,FALSE)</f>
        <v>4</v>
      </c>
      <c r="Q82" s="24">
        <f>VLOOKUP(tblRiskRegister322[[#This Row],[Asset Class]],tblInherentImpacts3046[],4,FALSE)</f>
        <v>5</v>
      </c>
      <c r="R82" s="24">
        <f>VLOOKUP(tblRiskRegister322[[#This Row],[Asset Class]],tblInherentImpacts3046[],5,FALSE)</f>
        <v>5</v>
      </c>
      <c r="S82" s="24" t="str">
        <f>IFERROR(MAX(tblRiskRegister322[[#This Row],[Impact to Mission]:[Impact to Obligations]])*tblRiskRegister322[[#This Row],[Expectancy Score]],"")</f>
        <v/>
      </c>
      <c r="T82" s="24" t="str">
        <f>tblRiskRegister322[[#This Row],[Risk Score]]</f>
        <v/>
      </c>
      <c r="U82" s="13"/>
      <c r="V82" s="50">
        <v>14.6</v>
      </c>
      <c r="W82" s="15" t="s">
        <v>83</v>
      </c>
      <c r="X82" s="15" t="s">
        <v>384</v>
      </c>
      <c r="Y82" s="26"/>
      <c r="Z82" s="16"/>
      <c r="AA82" s="23" t="str">
        <f>IFERROR(VLOOKUP(10*tblRiskRegister322[[#This Row],[Risk Treatment Safeguard Maturity Score]]+tblRiskRegister322[[#This Row],[VCDB Index]],tblHITIndexWeightTable[],4,FALSE),"")</f>
        <v/>
      </c>
      <c r="AB82" s="65"/>
      <c r="AC82" s="65"/>
      <c r="AD82" s="65"/>
      <c r="AE82" s="65"/>
      <c r="AF82" s="23" t="str">
        <f>IFERROR(MAX(tblRiskRegister322[[#This Row],[Risk Treatment Safeguard Impact to Mission]:[Risk Treatment Safeguard Impact to Obligations]])*tblRiskRegister322[[#This Row],[Risk Treatment
Safeguard Expectancy Score]],"")</f>
        <v/>
      </c>
      <c r="AG82" s="23" t="str">
        <f>IF(tblRiskRegister322[[#This Row],[Risk Score]]&gt;AcceptableRisk1,IF(tblRiskRegister322[[#This Row],[Risk Treatment Safeguard Risk Score]]&lt;AcceptableRisk1, IF(tblRiskRegister322[[#This Row],[Risk Treatment Safeguard Risk Score]]&lt;=tblRiskRegister322[[#This Row],[Risk Score]],"Yes","No"),"No"),"Yes")</f>
        <v>No</v>
      </c>
      <c r="AH82" s="17"/>
      <c r="AI82" s="17"/>
      <c r="AJ82" s="18"/>
    </row>
    <row r="83" spans="2:36" ht="42">
      <c r="B83" s="15" t="s">
        <v>95</v>
      </c>
      <c r="C83" s="15"/>
      <c r="D83" s="13">
        <v>14.7</v>
      </c>
      <c r="E83" s="14" t="s">
        <v>84</v>
      </c>
      <c r="F83" s="13" t="s">
        <v>416</v>
      </c>
      <c r="G83" s="13" t="s">
        <v>416</v>
      </c>
      <c r="H83" s="13" t="s">
        <v>512</v>
      </c>
      <c r="I83" s="14"/>
      <c r="J83" s="14"/>
      <c r="K83" s="14"/>
      <c r="L83" s="16"/>
      <c r="M83" s="24">
        <f>IFERROR(VLOOKUP(tblRiskRegister322[[#This Row],[Asset Class]],tblVCDBIndex[],4,FALSE),"")</f>
        <v>3</v>
      </c>
      <c r="N83" s="24" t="str">
        <f>IFERROR(VLOOKUP(10*tblRiskRegister322[[#This Row],[Safeguard Maturity Score]]+tblRiskRegister322[[#This Row],[VCDB Index]],tblHITIndexWeightTable[],4,FALSE),"")</f>
        <v/>
      </c>
      <c r="O83" s="24">
        <f>VLOOKUP(tblRiskRegister322[[#This Row],[Asset Class]],tblInherentImpacts3046[],2,FALSE)</f>
        <v>4</v>
      </c>
      <c r="P83" s="24">
        <f>VLOOKUP(tblRiskRegister322[[#This Row],[Asset Class]],tblInherentImpacts3046[],3,FALSE)</f>
        <v>4</v>
      </c>
      <c r="Q83" s="24">
        <f>VLOOKUP(tblRiskRegister322[[#This Row],[Asset Class]],tblInherentImpacts3046[],4,FALSE)</f>
        <v>5</v>
      </c>
      <c r="R83" s="24">
        <f>VLOOKUP(tblRiskRegister322[[#This Row],[Asset Class]],tblInherentImpacts3046[],5,FALSE)</f>
        <v>5</v>
      </c>
      <c r="S83" s="24" t="str">
        <f>IFERROR(MAX(tblRiskRegister322[[#This Row],[Impact to Mission]:[Impact to Obligations]])*tblRiskRegister322[[#This Row],[Expectancy Score]],"")</f>
        <v/>
      </c>
      <c r="T83" s="24" t="str">
        <f>tblRiskRegister322[[#This Row],[Risk Score]]</f>
        <v/>
      </c>
      <c r="U83" s="13"/>
      <c r="V83" s="50">
        <v>14.7</v>
      </c>
      <c r="W83" s="15" t="s">
        <v>84</v>
      </c>
      <c r="X83" s="15" t="s">
        <v>385</v>
      </c>
      <c r="Y83" s="26"/>
      <c r="Z83" s="16"/>
      <c r="AA83" s="23" t="str">
        <f>IFERROR(VLOOKUP(10*tblRiskRegister322[[#This Row],[Risk Treatment Safeguard Maturity Score]]+tblRiskRegister322[[#This Row],[VCDB Index]],tblHITIndexWeightTable[],4,FALSE),"")</f>
        <v/>
      </c>
      <c r="AB83" s="65"/>
      <c r="AC83" s="65"/>
      <c r="AD83" s="65"/>
      <c r="AE83" s="65"/>
      <c r="AF83" s="23" t="str">
        <f>IFERROR(MAX(tblRiskRegister322[[#This Row],[Risk Treatment Safeguard Impact to Mission]:[Risk Treatment Safeguard Impact to Obligations]])*tblRiskRegister322[[#This Row],[Risk Treatment
Safeguard Expectancy Score]],"")</f>
        <v/>
      </c>
      <c r="AG83" s="23" t="str">
        <f>IF(tblRiskRegister322[[#This Row],[Risk Score]]&gt;AcceptableRisk1,IF(tblRiskRegister322[[#This Row],[Risk Treatment Safeguard Risk Score]]&lt;AcceptableRisk1, IF(tblRiskRegister322[[#This Row],[Risk Treatment Safeguard Risk Score]]&lt;=tblRiskRegister322[[#This Row],[Risk Score]],"Yes","No"),"No"),"Yes")</f>
        <v>No</v>
      </c>
      <c r="AH83" s="17"/>
      <c r="AI83" s="17"/>
      <c r="AJ83" s="18"/>
    </row>
    <row r="84" spans="2:36" ht="56">
      <c r="B84" s="15" t="s">
        <v>95</v>
      </c>
      <c r="C84" s="15"/>
      <c r="D84" s="13">
        <v>14.8</v>
      </c>
      <c r="E84" s="14" t="s">
        <v>85</v>
      </c>
      <c r="F84" s="13" t="s">
        <v>416</v>
      </c>
      <c r="G84" s="13" t="s">
        <v>416</v>
      </c>
      <c r="H84" s="13" t="s">
        <v>512</v>
      </c>
      <c r="I84" s="14"/>
      <c r="J84" s="14"/>
      <c r="K84" s="14"/>
      <c r="L84" s="16"/>
      <c r="M84" s="24">
        <f>IFERROR(VLOOKUP(tblRiskRegister322[[#This Row],[Asset Class]],tblVCDBIndex[],4,FALSE),"")</f>
        <v>3</v>
      </c>
      <c r="N84" s="24" t="str">
        <f>IFERROR(VLOOKUP(10*tblRiskRegister322[[#This Row],[Safeguard Maturity Score]]+tblRiskRegister322[[#This Row],[VCDB Index]],tblHITIndexWeightTable[],4,FALSE),"")</f>
        <v/>
      </c>
      <c r="O84" s="24">
        <f>VLOOKUP(tblRiskRegister322[[#This Row],[Asset Class]],tblInherentImpacts3046[],2,FALSE)</f>
        <v>4</v>
      </c>
      <c r="P84" s="24">
        <f>VLOOKUP(tblRiskRegister322[[#This Row],[Asset Class]],tblInherentImpacts3046[],3,FALSE)</f>
        <v>4</v>
      </c>
      <c r="Q84" s="24">
        <f>VLOOKUP(tblRiskRegister322[[#This Row],[Asset Class]],tblInherentImpacts3046[],4,FALSE)</f>
        <v>5</v>
      </c>
      <c r="R84" s="24">
        <f>VLOOKUP(tblRiskRegister322[[#This Row],[Asset Class]],tblInherentImpacts3046[],5,FALSE)</f>
        <v>5</v>
      </c>
      <c r="S84" s="24" t="str">
        <f>IFERROR(MAX(tblRiskRegister322[[#This Row],[Impact to Mission]:[Impact to Obligations]])*tblRiskRegister322[[#This Row],[Expectancy Score]],"")</f>
        <v/>
      </c>
      <c r="T84" s="24" t="str">
        <f>tblRiskRegister322[[#This Row],[Risk Score]]</f>
        <v/>
      </c>
      <c r="U84" s="13"/>
      <c r="V84" s="50">
        <v>14.8</v>
      </c>
      <c r="W84" s="15" t="s">
        <v>85</v>
      </c>
      <c r="X84" s="15" t="s">
        <v>386</v>
      </c>
      <c r="Y84" s="26"/>
      <c r="Z84" s="16"/>
      <c r="AA84" s="23" t="str">
        <f>IFERROR(VLOOKUP(10*tblRiskRegister322[[#This Row],[Risk Treatment Safeguard Maturity Score]]+tblRiskRegister322[[#This Row],[VCDB Index]],tblHITIndexWeightTable[],4,FALSE),"")</f>
        <v/>
      </c>
      <c r="AB84" s="65"/>
      <c r="AC84" s="65"/>
      <c r="AD84" s="65"/>
      <c r="AE84" s="65"/>
      <c r="AF84" s="23" t="str">
        <f>IFERROR(MAX(tblRiskRegister322[[#This Row],[Risk Treatment Safeguard Impact to Mission]:[Risk Treatment Safeguard Impact to Obligations]])*tblRiskRegister322[[#This Row],[Risk Treatment
Safeguard Expectancy Score]],"")</f>
        <v/>
      </c>
      <c r="AG84" s="23" t="str">
        <f>IF(tblRiskRegister322[[#This Row],[Risk Score]]&gt;AcceptableRisk1,IF(tblRiskRegister322[[#This Row],[Risk Treatment Safeguard Risk Score]]&lt;AcceptableRisk1, IF(tblRiskRegister322[[#This Row],[Risk Treatment Safeguard Risk Score]]&lt;=tblRiskRegister322[[#This Row],[Risk Score]],"Yes","No"),"No"),"Yes")</f>
        <v>No</v>
      </c>
      <c r="AH84" s="17"/>
      <c r="AI84" s="17"/>
      <c r="AJ84" s="18"/>
    </row>
    <row r="85" spans="2:36" ht="56">
      <c r="B85" s="15" t="s">
        <v>95</v>
      </c>
      <c r="C85" s="15"/>
      <c r="D85" s="13">
        <v>14.9</v>
      </c>
      <c r="E85" s="14" t="s">
        <v>197</v>
      </c>
      <c r="F85" s="13"/>
      <c r="G85" s="13" t="s">
        <v>416</v>
      </c>
      <c r="H85" s="13" t="s">
        <v>512</v>
      </c>
      <c r="I85" s="14"/>
      <c r="J85" s="14"/>
      <c r="K85" s="14"/>
      <c r="L85" s="16"/>
      <c r="M85" s="24">
        <f>IFERROR(VLOOKUP(tblRiskRegister322[[#This Row],[Asset Class]],tblVCDBIndex[],4,FALSE),"")</f>
        <v>3</v>
      </c>
      <c r="N85" s="24" t="str">
        <f>IFERROR(VLOOKUP(10*tblRiskRegister322[[#This Row],[Safeguard Maturity Score]]+tblRiskRegister322[[#This Row],[VCDB Index]],tblHITIndexWeightTable[],4,FALSE),"")</f>
        <v/>
      </c>
      <c r="O85" s="24">
        <f>VLOOKUP(tblRiskRegister322[[#This Row],[Asset Class]],tblInherentImpacts3046[],2,FALSE)</f>
        <v>4</v>
      </c>
      <c r="P85" s="24">
        <f>VLOOKUP(tblRiskRegister322[[#This Row],[Asset Class]],tblInherentImpacts3046[],3,FALSE)</f>
        <v>4</v>
      </c>
      <c r="Q85" s="24">
        <f>VLOOKUP(tblRiskRegister322[[#This Row],[Asset Class]],tblInherentImpacts3046[],4,FALSE)</f>
        <v>5</v>
      </c>
      <c r="R85" s="24">
        <f>VLOOKUP(tblRiskRegister322[[#This Row],[Asset Class]],tblInherentImpacts3046[],5,FALSE)</f>
        <v>5</v>
      </c>
      <c r="S85" s="24" t="str">
        <f>IFERROR(MAX(tblRiskRegister322[[#This Row],[Impact to Mission]:[Impact to Obligations]])*tblRiskRegister322[[#This Row],[Expectancy Score]],"")</f>
        <v/>
      </c>
      <c r="T85" s="24" t="str">
        <f>tblRiskRegister322[[#This Row],[Risk Score]]</f>
        <v/>
      </c>
      <c r="U85" s="13"/>
      <c r="V85" s="50">
        <v>14.9</v>
      </c>
      <c r="W85" s="15" t="s">
        <v>197</v>
      </c>
      <c r="X85" s="15" t="s">
        <v>387</v>
      </c>
      <c r="Y85" s="26"/>
      <c r="Z85" s="16"/>
      <c r="AA85" s="23" t="str">
        <f>IFERROR(VLOOKUP(10*tblRiskRegister322[[#This Row],[Risk Treatment Safeguard Maturity Score]]+tblRiskRegister322[[#This Row],[VCDB Index]],tblHITIndexWeightTable[],4,FALSE),"")</f>
        <v/>
      </c>
      <c r="AB85" s="65"/>
      <c r="AC85" s="65"/>
      <c r="AD85" s="65"/>
      <c r="AE85" s="65"/>
      <c r="AF85" s="23" t="str">
        <f>IFERROR(MAX(tblRiskRegister322[[#This Row],[Risk Treatment Safeguard Impact to Mission]:[Risk Treatment Safeguard Impact to Obligations]])*tblRiskRegister322[[#This Row],[Risk Treatment
Safeguard Expectancy Score]],"")</f>
        <v/>
      </c>
      <c r="AG85" s="23" t="str">
        <f>IF(tblRiskRegister322[[#This Row],[Risk Score]]&gt;AcceptableRisk1,IF(tblRiskRegister322[[#This Row],[Risk Treatment Safeguard Risk Score]]&lt;AcceptableRisk1, IF(tblRiskRegister322[[#This Row],[Risk Treatment Safeguard Risk Score]]&lt;=tblRiskRegister322[[#This Row],[Risk Score]],"Yes","No"),"No"),"Yes")</f>
        <v>No</v>
      </c>
      <c r="AH85" s="17"/>
      <c r="AI85" s="17"/>
      <c r="AJ85" s="18"/>
    </row>
    <row r="86" spans="2:36" ht="56">
      <c r="B86" s="15" t="s">
        <v>95</v>
      </c>
      <c r="C86" s="15"/>
      <c r="D86" s="13">
        <v>15.1</v>
      </c>
      <c r="E86" s="14" t="s">
        <v>86</v>
      </c>
      <c r="F86" s="13" t="s">
        <v>416</v>
      </c>
      <c r="G86" s="13" t="s">
        <v>416</v>
      </c>
      <c r="H86" s="13" t="s">
        <v>510</v>
      </c>
      <c r="I86" s="14"/>
      <c r="J86" s="14"/>
      <c r="K86" s="14"/>
      <c r="L86" s="16"/>
      <c r="M86" s="24">
        <f>IFERROR(VLOOKUP(tblRiskRegister322[[#This Row],[Asset Class]],tblVCDBIndex[],4,FALSE),"")</f>
        <v>3</v>
      </c>
      <c r="N86" s="24" t="str">
        <f>IFERROR(VLOOKUP(10*tblRiskRegister322[[#This Row],[Safeguard Maturity Score]]+tblRiskRegister322[[#This Row],[VCDB Index]],tblHITIndexWeightTable[],4,FALSE),"")</f>
        <v/>
      </c>
      <c r="O86" s="24">
        <f>VLOOKUP(tblRiskRegister322[[#This Row],[Asset Class]],tblInherentImpacts3046[],2,FALSE)</f>
        <v>4</v>
      </c>
      <c r="P86" s="24">
        <f>VLOOKUP(tblRiskRegister322[[#This Row],[Asset Class]],tblInherentImpacts3046[],3,FALSE)</f>
        <v>4</v>
      </c>
      <c r="Q86" s="24">
        <f>VLOOKUP(tblRiskRegister322[[#This Row],[Asset Class]],tblInherentImpacts3046[],4,FALSE)</f>
        <v>5</v>
      </c>
      <c r="R86" s="24">
        <f>VLOOKUP(tblRiskRegister322[[#This Row],[Asset Class]],tblInherentImpacts3046[],5,FALSE)</f>
        <v>5</v>
      </c>
      <c r="S86" s="24" t="str">
        <f>IFERROR(MAX(tblRiskRegister322[[#This Row],[Impact to Mission]:[Impact to Obligations]])*tblRiskRegister322[[#This Row],[Expectancy Score]],"")</f>
        <v/>
      </c>
      <c r="T86" s="24" t="str">
        <f>tblRiskRegister322[[#This Row],[Risk Score]]</f>
        <v/>
      </c>
      <c r="U86" s="13"/>
      <c r="V86" s="50">
        <v>15.1</v>
      </c>
      <c r="W86" s="15" t="s">
        <v>86</v>
      </c>
      <c r="X86" s="15" t="s">
        <v>388</v>
      </c>
      <c r="Y86" s="26"/>
      <c r="Z86" s="16"/>
      <c r="AA86" s="23" t="str">
        <f>IFERROR(VLOOKUP(10*tblRiskRegister322[[#This Row],[Risk Treatment Safeguard Maturity Score]]+tblRiskRegister322[[#This Row],[VCDB Index]],tblHITIndexWeightTable[],4,FALSE),"")</f>
        <v/>
      </c>
      <c r="AB86" s="65"/>
      <c r="AC86" s="65"/>
      <c r="AD86" s="65"/>
      <c r="AE86" s="65"/>
      <c r="AF86" s="23" t="str">
        <f>IFERROR(MAX(tblRiskRegister322[[#This Row],[Risk Treatment Safeguard Impact to Mission]:[Risk Treatment Safeguard Impact to Obligations]])*tblRiskRegister322[[#This Row],[Risk Treatment
Safeguard Expectancy Score]],"")</f>
        <v/>
      </c>
      <c r="AG86" s="23" t="str">
        <f>IF(tblRiskRegister322[[#This Row],[Risk Score]]&gt;AcceptableRisk1,IF(tblRiskRegister322[[#This Row],[Risk Treatment Safeguard Risk Score]]&lt;AcceptableRisk1, IF(tblRiskRegister322[[#This Row],[Risk Treatment Safeguard Risk Score]]&lt;=tblRiskRegister322[[#This Row],[Risk Score]],"Yes","No"),"No"),"Yes")</f>
        <v>No</v>
      </c>
      <c r="AH86" s="17"/>
      <c r="AI86" s="17"/>
      <c r="AJ86" s="18"/>
    </row>
    <row r="87" spans="2:36" ht="56">
      <c r="B87" s="15" t="s">
        <v>95</v>
      </c>
      <c r="C87" s="15"/>
      <c r="D87" s="13">
        <v>15.2</v>
      </c>
      <c r="E87" s="14" t="s">
        <v>198</v>
      </c>
      <c r="F87" s="13"/>
      <c r="G87" s="13" t="s">
        <v>416</v>
      </c>
      <c r="H87" s="13" t="s">
        <v>510</v>
      </c>
      <c r="I87" s="14"/>
      <c r="J87" s="14"/>
      <c r="K87" s="14"/>
      <c r="L87" s="16"/>
      <c r="M87" s="24">
        <f>IFERROR(VLOOKUP(tblRiskRegister322[[#This Row],[Asset Class]],tblVCDBIndex[],4,FALSE),"")</f>
        <v>3</v>
      </c>
      <c r="N87" s="24" t="str">
        <f>IFERROR(VLOOKUP(10*tblRiskRegister322[[#This Row],[Safeguard Maturity Score]]+tblRiskRegister322[[#This Row],[VCDB Index]],tblHITIndexWeightTable[],4,FALSE),"")</f>
        <v/>
      </c>
      <c r="O87" s="24">
        <f>VLOOKUP(tblRiskRegister322[[#This Row],[Asset Class]],tblInherentImpacts3046[],2,FALSE)</f>
        <v>4</v>
      </c>
      <c r="P87" s="24">
        <f>VLOOKUP(tblRiskRegister322[[#This Row],[Asset Class]],tblInherentImpacts3046[],3,FALSE)</f>
        <v>4</v>
      </c>
      <c r="Q87" s="24">
        <f>VLOOKUP(tblRiskRegister322[[#This Row],[Asset Class]],tblInherentImpacts3046[],4,FALSE)</f>
        <v>5</v>
      </c>
      <c r="R87" s="24">
        <f>VLOOKUP(tblRiskRegister322[[#This Row],[Asset Class]],tblInherentImpacts3046[],5,FALSE)</f>
        <v>5</v>
      </c>
      <c r="S87" s="24" t="str">
        <f>IFERROR(MAX(tblRiskRegister322[[#This Row],[Impact to Mission]:[Impact to Obligations]])*tblRiskRegister322[[#This Row],[Expectancy Score]],"")</f>
        <v/>
      </c>
      <c r="T87" s="24" t="str">
        <f>tblRiskRegister322[[#This Row],[Risk Score]]</f>
        <v/>
      </c>
      <c r="U87" s="13"/>
      <c r="V87" s="50">
        <v>15.2</v>
      </c>
      <c r="W87" s="15" t="s">
        <v>198</v>
      </c>
      <c r="X87" s="15" t="s">
        <v>389</v>
      </c>
      <c r="Y87" s="26"/>
      <c r="Z87" s="16"/>
      <c r="AA87" s="23" t="str">
        <f>IFERROR(VLOOKUP(10*tblRiskRegister322[[#This Row],[Risk Treatment Safeguard Maturity Score]]+tblRiskRegister322[[#This Row],[VCDB Index]],tblHITIndexWeightTable[],4,FALSE),"")</f>
        <v/>
      </c>
      <c r="AB87" s="65"/>
      <c r="AC87" s="65"/>
      <c r="AD87" s="65"/>
      <c r="AE87" s="65"/>
      <c r="AF87" s="23" t="str">
        <f>IFERROR(MAX(tblRiskRegister322[[#This Row],[Risk Treatment Safeguard Impact to Mission]:[Risk Treatment Safeguard Impact to Obligations]])*tblRiskRegister322[[#This Row],[Risk Treatment
Safeguard Expectancy Score]],"")</f>
        <v/>
      </c>
      <c r="AG87" s="23" t="str">
        <f>IF(tblRiskRegister322[[#This Row],[Risk Score]]&gt;AcceptableRisk1,IF(tblRiskRegister322[[#This Row],[Risk Treatment Safeguard Risk Score]]&lt;AcceptableRisk1, IF(tblRiskRegister322[[#This Row],[Risk Treatment Safeguard Risk Score]]&lt;=tblRiskRegister322[[#This Row],[Risk Score]],"Yes","No"),"No"),"Yes")</f>
        <v>No</v>
      </c>
      <c r="AH87" s="17"/>
      <c r="AI87" s="17"/>
      <c r="AJ87" s="18"/>
    </row>
    <row r="88" spans="2:36" ht="56">
      <c r="B88" s="15" t="s">
        <v>95</v>
      </c>
      <c r="C88" s="15"/>
      <c r="D88" s="13">
        <v>15.3</v>
      </c>
      <c r="E88" s="14" t="s">
        <v>199</v>
      </c>
      <c r="F88" s="13"/>
      <c r="G88" s="13" t="s">
        <v>416</v>
      </c>
      <c r="H88" s="13" t="s">
        <v>510</v>
      </c>
      <c r="I88" s="14"/>
      <c r="J88" s="14"/>
      <c r="K88" s="14"/>
      <c r="L88" s="16"/>
      <c r="M88" s="24">
        <f>IFERROR(VLOOKUP(tblRiskRegister322[[#This Row],[Asset Class]],tblVCDBIndex[],4,FALSE),"")</f>
        <v>3</v>
      </c>
      <c r="N88" s="24" t="str">
        <f>IFERROR(VLOOKUP(10*tblRiskRegister322[[#This Row],[Safeguard Maturity Score]]+tblRiskRegister322[[#This Row],[VCDB Index]],tblHITIndexWeightTable[],4,FALSE),"")</f>
        <v/>
      </c>
      <c r="O88" s="24">
        <f>VLOOKUP(tblRiskRegister322[[#This Row],[Asset Class]],tblInherentImpacts3046[],2,FALSE)</f>
        <v>4</v>
      </c>
      <c r="P88" s="24">
        <f>VLOOKUP(tblRiskRegister322[[#This Row],[Asset Class]],tblInherentImpacts3046[],3,FALSE)</f>
        <v>4</v>
      </c>
      <c r="Q88" s="24">
        <f>VLOOKUP(tblRiskRegister322[[#This Row],[Asset Class]],tblInherentImpacts3046[],4,FALSE)</f>
        <v>5</v>
      </c>
      <c r="R88" s="24">
        <f>VLOOKUP(tblRiskRegister322[[#This Row],[Asset Class]],tblInherentImpacts3046[],5,FALSE)</f>
        <v>5</v>
      </c>
      <c r="S88" s="24" t="str">
        <f>IFERROR(MAX(tblRiskRegister322[[#This Row],[Impact to Mission]:[Impact to Obligations]])*tblRiskRegister322[[#This Row],[Expectancy Score]],"")</f>
        <v/>
      </c>
      <c r="T88" s="24" t="str">
        <f>tblRiskRegister322[[#This Row],[Risk Score]]</f>
        <v/>
      </c>
      <c r="U88" s="13"/>
      <c r="V88" s="50">
        <v>15.3</v>
      </c>
      <c r="W88" s="15" t="s">
        <v>199</v>
      </c>
      <c r="X88" s="15" t="s">
        <v>390</v>
      </c>
      <c r="Y88" s="26"/>
      <c r="Z88" s="16"/>
      <c r="AA88" s="23" t="str">
        <f>IFERROR(VLOOKUP(10*tblRiskRegister322[[#This Row],[Risk Treatment Safeguard Maturity Score]]+tblRiskRegister322[[#This Row],[VCDB Index]],tblHITIndexWeightTable[],4,FALSE),"")</f>
        <v/>
      </c>
      <c r="AB88" s="65"/>
      <c r="AC88" s="65"/>
      <c r="AD88" s="65"/>
      <c r="AE88" s="65"/>
      <c r="AF88" s="23" t="str">
        <f>IFERROR(MAX(tblRiskRegister322[[#This Row],[Risk Treatment Safeguard Impact to Mission]:[Risk Treatment Safeguard Impact to Obligations]])*tblRiskRegister322[[#This Row],[Risk Treatment
Safeguard Expectancy Score]],"")</f>
        <v/>
      </c>
      <c r="AG88" s="23" t="str">
        <f>IF(tblRiskRegister322[[#This Row],[Risk Score]]&gt;AcceptableRisk1,IF(tblRiskRegister322[[#This Row],[Risk Treatment Safeguard Risk Score]]&lt;AcceptableRisk1, IF(tblRiskRegister322[[#This Row],[Risk Treatment Safeguard Risk Score]]&lt;=tblRiskRegister322[[#This Row],[Risk Score]],"Yes","No"),"No"),"Yes")</f>
        <v>No</v>
      </c>
      <c r="AH88" s="17"/>
      <c r="AI88" s="17"/>
      <c r="AJ88" s="18"/>
    </row>
    <row r="89" spans="2:36" ht="84">
      <c r="B89" s="15" t="s">
        <v>95</v>
      </c>
      <c r="C89" s="15"/>
      <c r="D89" s="13">
        <v>15.4</v>
      </c>
      <c r="E89" s="14" t="s">
        <v>200</v>
      </c>
      <c r="F89" s="13"/>
      <c r="G89" s="13" t="s">
        <v>416</v>
      </c>
      <c r="H89" s="13" t="s">
        <v>512</v>
      </c>
      <c r="I89" s="14"/>
      <c r="J89" s="14"/>
      <c r="K89" s="14"/>
      <c r="L89" s="16"/>
      <c r="M89" s="24">
        <f>IFERROR(VLOOKUP(tblRiskRegister322[[#This Row],[Asset Class]],tblVCDBIndex[],4,FALSE),"")</f>
        <v>3</v>
      </c>
      <c r="N89" s="24" t="str">
        <f>IFERROR(VLOOKUP(10*tblRiskRegister322[[#This Row],[Safeguard Maturity Score]]+tblRiskRegister322[[#This Row],[VCDB Index]],tblHITIndexWeightTable[],4,FALSE),"")</f>
        <v/>
      </c>
      <c r="O89" s="24">
        <f>VLOOKUP(tblRiskRegister322[[#This Row],[Asset Class]],tblInherentImpacts3046[],2,FALSE)</f>
        <v>4</v>
      </c>
      <c r="P89" s="24">
        <f>VLOOKUP(tblRiskRegister322[[#This Row],[Asset Class]],tblInherentImpacts3046[],3,FALSE)</f>
        <v>4</v>
      </c>
      <c r="Q89" s="24">
        <f>VLOOKUP(tblRiskRegister322[[#This Row],[Asset Class]],tblInherentImpacts3046[],4,FALSE)</f>
        <v>5</v>
      </c>
      <c r="R89" s="24">
        <f>VLOOKUP(tblRiskRegister322[[#This Row],[Asset Class]],tblInherentImpacts3046[],5,FALSE)</f>
        <v>5</v>
      </c>
      <c r="S89" s="24" t="str">
        <f>IFERROR(MAX(tblRiskRegister322[[#This Row],[Impact to Mission]:[Impact to Obligations]])*tblRiskRegister322[[#This Row],[Expectancy Score]],"")</f>
        <v/>
      </c>
      <c r="T89" s="24" t="str">
        <f>tblRiskRegister322[[#This Row],[Risk Score]]</f>
        <v/>
      </c>
      <c r="U89" s="13"/>
      <c r="V89" s="50">
        <v>15.4</v>
      </c>
      <c r="W89" s="15" t="s">
        <v>200</v>
      </c>
      <c r="X89" s="15" t="s">
        <v>391</v>
      </c>
      <c r="Y89" s="26"/>
      <c r="Z89" s="16"/>
      <c r="AA89" s="23" t="str">
        <f>IFERROR(VLOOKUP(10*tblRiskRegister322[[#This Row],[Risk Treatment Safeguard Maturity Score]]+tblRiskRegister322[[#This Row],[VCDB Index]],tblHITIndexWeightTable[],4,FALSE),"")</f>
        <v/>
      </c>
      <c r="AB89" s="65"/>
      <c r="AC89" s="65"/>
      <c r="AD89" s="65"/>
      <c r="AE89" s="65"/>
      <c r="AF89" s="23" t="str">
        <f>IFERROR(MAX(tblRiskRegister322[[#This Row],[Risk Treatment Safeguard Impact to Mission]:[Risk Treatment Safeguard Impact to Obligations]])*tblRiskRegister322[[#This Row],[Risk Treatment
Safeguard Expectancy Score]],"")</f>
        <v/>
      </c>
      <c r="AG89" s="23" t="str">
        <f>IF(tblRiskRegister322[[#This Row],[Risk Score]]&gt;AcceptableRisk1,IF(tblRiskRegister322[[#This Row],[Risk Treatment Safeguard Risk Score]]&lt;AcceptableRisk1, IF(tblRiskRegister322[[#This Row],[Risk Treatment Safeguard Risk Score]]&lt;=tblRiskRegister322[[#This Row],[Risk Score]],"Yes","No"),"No"),"Yes")</f>
        <v>No</v>
      </c>
      <c r="AH89" s="17"/>
      <c r="AI89" s="17"/>
      <c r="AJ89" s="18"/>
    </row>
    <row r="90" spans="2:36" ht="84">
      <c r="B90" s="15" t="s">
        <v>95</v>
      </c>
      <c r="C90" s="15"/>
      <c r="D90" s="13">
        <v>17.100000000000001</v>
      </c>
      <c r="E90" s="14" t="s">
        <v>87</v>
      </c>
      <c r="F90" s="13" t="s">
        <v>416</v>
      </c>
      <c r="G90" s="13" t="s">
        <v>416</v>
      </c>
      <c r="H90" s="13" t="s">
        <v>511</v>
      </c>
      <c r="I90" s="14"/>
      <c r="J90" s="14"/>
      <c r="K90" s="14"/>
      <c r="L90" s="16"/>
      <c r="M90" s="24">
        <f>IFERROR(VLOOKUP(tblRiskRegister322[[#This Row],[Asset Class]],tblVCDBIndex[],4,FALSE),"")</f>
        <v>3</v>
      </c>
      <c r="N90" s="24" t="str">
        <f>IFERROR(VLOOKUP(10*tblRiskRegister322[[#This Row],[Safeguard Maturity Score]]+tblRiskRegister322[[#This Row],[VCDB Index]],tblHITIndexWeightTable[],4,FALSE),"")</f>
        <v/>
      </c>
      <c r="O90" s="24">
        <f>VLOOKUP(tblRiskRegister322[[#This Row],[Asset Class]],tblInherentImpacts3046[],2,FALSE)</f>
        <v>4</v>
      </c>
      <c r="P90" s="24">
        <f>VLOOKUP(tblRiskRegister322[[#This Row],[Asset Class]],tblInherentImpacts3046[],3,FALSE)</f>
        <v>4</v>
      </c>
      <c r="Q90" s="24">
        <f>VLOOKUP(tblRiskRegister322[[#This Row],[Asset Class]],tblInherentImpacts3046[],4,FALSE)</f>
        <v>5</v>
      </c>
      <c r="R90" s="24">
        <f>VLOOKUP(tblRiskRegister322[[#This Row],[Asset Class]],tblInherentImpacts3046[],5,FALSE)</f>
        <v>5</v>
      </c>
      <c r="S90" s="24" t="str">
        <f>IFERROR(MAX(tblRiskRegister322[[#This Row],[Impact to Mission]:[Impact to Obligations]])*tblRiskRegister322[[#This Row],[Expectancy Score]],"")</f>
        <v/>
      </c>
      <c r="T90" s="24" t="str">
        <f>tblRiskRegister322[[#This Row],[Risk Score]]</f>
        <v/>
      </c>
      <c r="U90" s="13"/>
      <c r="V90" s="50">
        <v>17.100000000000001</v>
      </c>
      <c r="W90" s="15" t="s">
        <v>87</v>
      </c>
      <c r="X90" s="15" t="s">
        <v>403</v>
      </c>
      <c r="Y90" s="26"/>
      <c r="Z90" s="16"/>
      <c r="AA90" s="23" t="str">
        <f>IFERROR(VLOOKUP(10*tblRiskRegister322[[#This Row],[Risk Treatment Safeguard Maturity Score]]+tblRiskRegister322[[#This Row],[VCDB Index]],tblHITIndexWeightTable[],4,FALSE),"")</f>
        <v/>
      </c>
      <c r="AB90" s="65"/>
      <c r="AC90" s="65"/>
      <c r="AD90" s="65"/>
      <c r="AE90" s="65"/>
      <c r="AF90" s="23" t="str">
        <f>IFERROR(MAX(tblRiskRegister322[[#This Row],[Risk Treatment Safeguard Impact to Mission]:[Risk Treatment Safeguard Impact to Obligations]])*tblRiskRegister322[[#This Row],[Risk Treatment
Safeguard Expectancy Score]],"")</f>
        <v/>
      </c>
      <c r="AG90" s="23" t="str">
        <f>IF(tblRiskRegister322[[#This Row],[Risk Score]]&gt;AcceptableRisk1,IF(tblRiskRegister322[[#This Row],[Risk Treatment Safeguard Risk Score]]&lt;AcceptableRisk1, IF(tblRiskRegister322[[#This Row],[Risk Treatment Safeguard Risk Score]]&lt;=tblRiskRegister322[[#This Row],[Risk Score]],"Yes","No"),"No"),"Yes")</f>
        <v>No</v>
      </c>
      <c r="AH90" s="17"/>
      <c r="AI90" s="17"/>
      <c r="AJ90" s="18"/>
    </row>
    <row r="91" spans="2:36" ht="70">
      <c r="B91" s="15" t="s">
        <v>95</v>
      </c>
      <c r="C91" s="15"/>
      <c r="D91" s="13">
        <v>17.2</v>
      </c>
      <c r="E91" s="14" t="s">
        <v>88</v>
      </c>
      <c r="F91" s="13" t="s">
        <v>416</v>
      </c>
      <c r="G91" s="13" t="s">
        <v>416</v>
      </c>
      <c r="H91" s="13" t="s">
        <v>511</v>
      </c>
      <c r="I91" s="14"/>
      <c r="J91" s="14"/>
      <c r="K91" s="14"/>
      <c r="L91" s="16"/>
      <c r="M91" s="24">
        <f>IFERROR(VLOOKUP(tblRiskRegister322[[#This Row],[Asset Class]],tblVCDBIndex[],4,FALSE),"")</f>
        <v>3</v>
      </c>
      <c r="N91" s="24" t="str">
        <f>IFERROR(VLOOKUP(10*tblRiskRegister322[[#This Row],[Safeguard Maturity Score]]+tblRiskRegister322[[#This Row],[VCDB Index]],tblHITIndexWeightTable[],4,FALSE),"")</f>
        <v/>
      </c>
      <c r="O91" s="24">
        <f>VLOOKUP(tblRiskRegister322[[#This Row],[Asset Class]],tblInherentImpacts3046[],2,FALSE)</f>
        <v>4</v>
      </c>
      <c r="P91" s="24">
        <f>VLOOKUP(tblRiskRegister322[[#This Row],[Asset Class]],tblInherentImpacts3046[],3,FALSE)</f>
        <v>4</v>
      </c>
      <c r="Q91" s="24">
        <f>VLOOKUP(tblRiskRegister322[[#This Row],[Asset Class]],tblInherentImpacts3046[],4,FALSE)</f>
        <v>5</v>
      </c>
      <c r="R91" s="24">
        <f>VLOOKUP(tblRiskRegister322[[#This Row],[Asset Class]],tblInherentImpacts3046[],5,FALSE)</f>
        <v>5</v>
      </c>
      <c r="S91" s="24" t="str">
        <f>IFERROR(MAX(tblRiskRegister322[[#This Row],[Impact to Mission]:[Impact to Obligations]])*tblRiskRegister322[[#This Row],[Expectancy Score]],"")</f>
        <v/>
      </c>
      <c r="T91" s="24" t="str">
        <f>tblRiskRegister322[[#This Row],[Risk Score]]</f>
        <v/>
      </c>
      <c r="U91" s="13"/>
      <c r="V91" s="50">
        <v>17.2</v>
      </c>
      <c r="W91" s="15" t="s">
        <v>88</v>
      </c>
      <c r="X91" s="15" t="s">
        <v>404</v>
      </c>
      <c r="Y91" s="26"/>
      <c r="Z91" s="16"/>
      <c r="AA91" s="23" t="str">
        <f>IFERROR(VLOOKUP(10*tblRiskRegister322[[#This Row],[Risk Treatment Safeguard Maturity Score]]+tblRiskRegister322[[#This Row],[VCDB Index]],tblHITIndexWeightTable[],4,FALSE),"")</f>
        <v/>
      </c>
      <c r="AB91" s="65"/>
      <c r="AC91" s="65"/>
      <c r="AD91" s="65"/>
      <c r="AE91" s="65"/>
      <c r="AF91" s="23" t="str">
        <f>IFERROR(MAX(tblRiskRegister322[[#This Row],[Risk Treatment Safeguard Impact to Mission]:[Risk Treatment Safeguard Impact to Obligations]])*tblRiskRegister322[[#This Row],[Risk Treatment
Safeguard Expectancy Score]],"")</f>
        <v/>
      </c>
      <c r="AG91" s="23" t="str">
        <f>IF(tblRiskRegister322[[#This Row],[Risk Score]]&gt;AcceptableRisk1,IF(tblRiskRegister322[[#This Row],[Risk Treatment Safeguard Risk Score]]&lt;AcceptableRisk1, IF(tblRiskRegister322[[#This Row],[Risk Treatment Safeguard Risk Score]]&lt;=tblRiskRegister322[[#This Row],[Risk Score]],"Yes","No"),"No"),"Yes")</f>
        <v>No</v>
      </c>
      <c r="AH91" s="17"/>
      <c r="AI91" s="17"/>
      <c r="AJ91" s="18"/>
    </row>
    <row r="92" spans="2:36" ht="70">
      <c r="B92" s="15" t="s">
        <v>95</v>
      </c>
      <c r="C92" s="15"/>
      <c r="D92" s="13">
        <v>17.3</v>
      </c>
      <c r="E92" s="14" t="s">
        <v>89</v>
      </c>
      <c r="F92" s="13" t="s">
        <v>416</v>
      </c>
      <c r="G92" s="13" t="s">
        <v>416</v>
      </c>
      <c r="H92" s="13" t="s">
        <v>511</v>
      </c>
      <c r="I92" s="14"/>
      <c r="J92" s="14"/>
      <c r="K92" s="14"/>
      <c r="L92" s="16"/>
      <c r="M92" s="24">
        <f>IFERROR(VLOOKUP(tblRiskRegister322[[#This Row],[Asset Class]],tblVCDBIndex[],4,FALSE),"")</f>
        <v>3</v>
      </c>
      <c r="N92" s="24" t="str">
        <f>IFERROR(VLOOKUP(10*tblRiskRegister322[[#This Row],[Safeguard Maturity Score]]+tblRiskRegister322[[#This Row],[VCDB Index]],tblHITIndexWeightTable[],4,FALSE),"")</f>
        <v/>
      </c>
      <c r="O92" s="24">
        <f>VLOOKUP(tblRiskRegister322[[#This Row],[Asset Class]],tblInherentImpacts3046[],2,FALSE)</f>
        <v>4</v>
      </c>
      <c r="P92" s="24">
        <f>VLOOKUP(tblRiskRegister322[[#This Row],[Asset Class]],tblInherentImpacts3046[],3,FALSE)</f>
        <v>4</v>
      </c>
      <c r="Q92" s="24">
        <f>VLOOKUP(tblRiskRegister322[[#This Row],[Asset Class]],tblInherentImpacts3046[],4,FALSE)</f>
        <v>5</v>
      </c>
      <c r="R92" s="24">
        <f>VLOOKUP(tblRiskRegister322[[#This Row],[Asset Class]],tblInherentImpacts3046[],5,FALSE)</f>
        <v>5</v>
      </c>
      <c r="S92" s="24" t="str">
        <f>IFERROR(MAX(tblRiskRegister322[[#This Row],[Impact to Mission]:[Impact to Obligations]])*tblRiskRegister322[[#This Row],[Expectancy Score]],"")</f>
        <v/>
      </c>
      <c r="T92" s="24" t="str">
        <f>tblRiskRegister322[[#This Row],[Risk Score]]</f>
        <v/>
      </c>
      <c r="U92" s="13"/>
      <c r="V92" s="50">
        <v>17.3</v>
      </c>
      <c r="W92" s="15" t="s">
        <v>89</v>
      </c>
      <c r="X92" s="15" t="s">
        <v>405</v>
      </c>
      <c r="Y92" s="26"/>
      <c r="Z92" s="16"/>
      <c r="AA92" s="23" t="str">
        <f>IFERROR(VLOOKUP(10*tblRiskRegister322[[#This Row],[Risk Treatment Safeguard Maturity Score]]+tblRiskRegister322[[#This Row],[VCDB Index]],tblHITIndexWeightTable[],4,FALSE),"")</f>
        <v/>
      </c>
      <c r="AB92" s="65"/>
      <c r="AC92" s="65"/>
      <c r="AD92" s="65"/>
      <c r="AE92" s="65"/>
      <c r="AF92" s="23" t="str">
        <f>IFERROR(MAX(tblRiskRegister322[[#This Row],[Risk Treatment Safeguard Impact to Mission]:[Risk Treatment Safeguard Impact to Obligations]])*tblRiskRegister322[[#This Row],[Risk Treatment
Safeguard Expectancy Score]],"")</f>
        <v/>
      </c>
      <c r="AG92" s="23" t="str">
        <f>IF(tblRiskRegister322[[#This Row],[Risk Score]]&gt;AcceptableRisk1,IF(tblRiskRegister322[[#This Row],[Risk Treatment Safeguard Risk Score]]&lt;AcceptableRisk1, IF(tblRiskRegister322[[#This Row],[Risk Treatment Safeguard Risk Score]]&lt;=tblRiskRegister322[[#This Row],[Risk Score]],"Yes","No"),"No"),"Yes")</f>
        <v>No</v>
      </c>
      <c r="AH92" s="17"/>
      <c r="AI92" s="17"/>
      <c r="AJ92" s="18"/>
    </row>
    <row r="93" spans="2:36" ht="42">
      <c r="B93" s="15" t="s">
        <v>95</v>
      </c>
      <c r="C93" s="15"/>
      <c r="D93" s="13">
        <v>17.399999999999999</v>
      </c>
      <c r="E93" s="14" t="s">
        <v>201</v>
      </c>
      <c r="F93" s="13"/>
      <c r="G93" s="13" t="s">
        <v>416</v>
      </c>
      <c r="H93" s="13" t="s">
        <v>511</v>
      </c>
      <c r="I93" s="14"/>
      <c r="J93" s="14"/>
      <c r="K93" s="14"/>
      <c r="L93" s="16"/>
      <c r="M93" s="24">
        <f>IFERROR(VLOOKUP(tblRiskRegister322[[#This Row],[Asset Class]],tblVCDBIndex[],4,FALSE),"")</f>
        <v>3</v>
      </c>
      <c r="N93" s="24" t="str">
        <f>IFERROR(VLOOKUP(10*tblRiskRegister322[[#This Row],[Safeguard Maturity Score]]+tblRiskRegister322[[#This Row],[VCDB Index]],tblHITIndexWeightTable[],4,FALSE),"")</f>
        <v/>
      </c>
      <c r="O93" s="24">
        <f>VLOOKUP(tblRiskRegister322[[#This Row],[Asset Class]],tblInherentImpacts3046[],2,FALSE)</f>
        <v>4</v>
      </c>
      <c r="P93" s="24">
        <f>VLOOKUP(tblRiskRegister322[[#This Row],[Asset Class]],tblInherentImpacts3046[],3,FALSE)</f>
        <v>4</v>
      </c>
      <c r="Q93" s="24">
        <f>VLOOKUP(tblRiskRegister322[[#This Row],[Asset Class]],tblInherentImpacts3046[],4,FALSE)</f>
        <v>5</v>
      </c>
      <c r="R93" s="24">
        <f>VLOOKUP(tblRiskRegister322[[#This Row],[Asset Class]],tblInherentImpacts3046[],5,FALSE)</f>
        <v>5</v>
      </c>
      <c r="S93" s="24" t="str">
        <f>IFERROR(MAX(tblRiskRegister322[[#This Row],[Impact to Mission]:[Impact to Obligations]])*tblRiskRegister322[[#This Row],[Expectancy Score]],"")</f>
        <v/>
      </c>
      <c r="T93" s="24" t="str">
        <f>tblRiskRegister322[[#This Row],[Risk Score]]</f>
        <v/>
      </c>
      <c r="U93" s="13"/>
      <c r="V93" s="50">
        <v>17.399999999999999</v>
      </c>
      <c r="W93" s="15" t="s">
        <v>201</v>
      </c>
      <c r="X93" s="15" t="s">
        <v>406</v>
      </c>
      <c r="Y93" s="26"/>
      <c r="Z93" s="16"/>
      <c r="AA93" s="23" t="str">
        <f>IFERROR(VLOOKUP(10*tblRiskRegister322[[#This Row],[Risk Treatment Safeguard Maturity Score]]+tblRiskRegister322[[#This Row],[VCDB Index]],tblHITIndexWeightTable[],4,FALSE),"")</f>
        <v/>
      </c>
      <c r="AB93" s="65"/>
      <c r="AC93" s="65"/>
      <c r="AD93" s="65"/>
      <c r="AE93" s="65"/>
      <c r="AF93" s="23" t="str">
        <f>IFERROR(MAX(tblRiskRegister322[[#This Row],[Risk Treatment Safeguard Impact to Mission]:[Risk Treatment Safeguard Impact to Obligations]])*tblRiskRegister322[[#This Row],[Risk Treatment
Safeguard Expectancy Score]],"")</f>
        <v/>
      </c>
      <c r="AG93" s="23" t="str">
        <f>IF(tblRiskRegister322[[#This Row],[Risk Score]]&gt;AcceptableRisk1,IF(tblRiskRegister322[[#This Row],[Risk Treatment Safeguard Risk Score]]&lt;AcceptableRisk1, IF(tblRiskRegister322[[#This Row],[Risk Treatment Safeguard Risk Score]]&lt;=tblRiskRegister322[[#This Row],[Risk Score]],"Yes","No"),"No"),"Yes")</f>
        <v>No</v>
      </c>
      <c r="AH93" s="17"/>
      <c r="AI93" s="17"/>
      <c r="AJ93" s="18"/>
    </row>
    <row r="94" spans="2:36" ht="56">
      <c r="B94" s="15" t="s">
        <v>95</v>
      </c>
      <c r="C94" s="15"/>
      <c r="D94" s="13">
        <v>17.5</v>
      </c>
      <c r="E94" s="14" t="s">
        <v>202</v>
      </c>
      <c r="F94" s="13"/>
      <c r="G94" s="13" t="s">
        <v>416</v>
      </c>
      <c r="H94" s="13" t="s">
        <v>511</v>
      </c>
      <c r="I94" s="14"/>
      <c r="J94" s="14"/>
      <c r="K94" s="14"/>
      <c r="L94" s="16"/>
      <c r="M94" s="24">
        <f>IFERROR(VLOOKUP(tblRiskRegister322[[#This Row],[Asset Class]],tblVCDBIndex[],4,FALSE),"")</f>
        <v>3</v>
      </c>
      <c r="N94" s="24" t="str">
        <f>IFERROR(VLOOKUP(10*tblRiskRegister322[[#This Row],[Safeguard Maturity Score]]+tblRiskRegister322[[#This Row],[VCDB Index]],tblHITIndexWeightTable[],4,FALSE),"")</f>
        <v/>
      </c>
      <c r="O94" s="24">
        <f>VLOOKUP(tblRiskRegister322[[#This Row],[Asset Class]],tblInherentImpacts3046[],2,FALSE)</f>
        <v>4</v>
      </c>
      <c r="P94" s="24">
        <f>VLOOKUP(tblRiskRegister322[[#This Row],[Asset Class]],tblInherentImpacts3046[],3,FALSE)</f>
        <v>4</v>
      </c>
      <c r="Q94" s="24">
        <f>VLOOKUP(tblRiskRegister322[[#This Row],[Asset Class]],tblInherentImpacts3046[],4,FALSE)</f>
        <v>5</v>
      </c>
      <c r="R94" s="24">
        <f>VLOOKUP(tblRiskRegister322[[#This Row],[Asset Class]],tblInherentImpacts3046[],5,FALSE)</f>
        <v>5</v>
      </c>
      <c r="S94" s="24" t="str">
        <f>IFERROR(MAX(tblRiskRegister322[[#This Row],[Impact to Mission]:[Impact to Obligations]])*tblRiskRegister322[[#This Row],[Expectancy Score]],"")</f>
        <v/>
      </c>
      <c r="T94" s="24" t="str">
        <f>tblRiskRegister322[[#This Row],[Risk Score]]</f>
        <v/>
      </c>
      <c r="U94" s="13"/>
      <c r="V94" s="50">
        <v>17.5</v>
      </c>
      <c r="W94" s="15" t="s">
        <v>202</v>
      </c>
      <c r="X94" s="15" t="s">
        <v>407</v>
      </c>
      <c r="Y94" s="26"/>
      <c r="Z94" s="16"/>
      <c r="AA94" s="23" t="str">
        <f>IFERROR(VLOOKUP(10*tblRiskRegister322[[#This Row],[Risk Treatment Safeguard Maturity Score]]+tblRiskRegister322[[#This Row],[VCDB Index]],tblHITIndexWeightTable[],4,FALSE),"")</f>
        <v/>
      </c>
      <c r="AB94" s="65"/>
      <c r="AC94" s="65"/>
      <c r="AD94" s="65"/>
      <c r="AE94" s="65"/>
      <c r="AF94" s="23" t="str">
        <f>IFERROR(MAX(tblRiskRegister322[[#This Row],[Risk Treatment Safeguard Impact to Mission]:[Risk Treatment Safeguard Impact to Obligations]])*tblRiskRegister322[[#This Row],[Risk Treatment
Safeguard Expectancy Score]],"")</f>
        <v/>
      </c>
      <c r="AG94" s="23" t="str">
        <f>IF(tblRiskRegister322[[#This Row],[Risk Score]]&gt;AcceptableRisk1,IF(tblRiskRegister322[[#This Row],[Risk Treatment Safeguard Risk Score]]&lt;AcceptableRisk1, IF(tblRiskRegister322[[#This Row],[Risk Treatment Safeguard Risk Score]]&lt;=tblRiskRegister322[[#This Row],[Risk Score]],"Yes","No"),"No"),"Yes")</f>
        <v>No</v>
      </c>
      <c r="AH94" s="17"/>
      <c r="AI94" s="17"/>
      <c r="AJ94" s="18"/>
    </row>
    <row r="95" spans="2:36" ht="56">
      <c r="B95" s="15" t="s">
        <v>95</v>
      </c>
      <c r="C95" s="15"/>
      <c r="D95" s="13">
        <v>17.600000000000001</v>
      </c>
      <c r="E95" s="14" t="s">
        <v>203</v>
      </c>
      <c r="F95" s="13"/>
      <c r="G95" s="13" t="s">
        <v>416</v>
      </c>
      <c r="H95" s="13" t="s">
        <v>511</v>
      </c>
      <c r="I95" s="14"/>
      <c r="J95" s="14"/>
      <c r="K95" s="14"/>
      <c r="L95" s="16"/>
      <c r="M95" s="24">
        <f>IFERROR(VLOOKUP(tblRiskRegister322[[#This Row],[Asset Class]],tblVCDBIndex[],4,FALSE),"")</f>
        <v>3</v>
      </c>
      <c r="N95" s="24" t="str">
        <f>IFERROR(VLOOKUP(10*tblRiskRegister322[[#This Row],[Safeguard Maturity Score]]+tblRiskRegister322[[#This Row],[VCDB Index]],tblHITIndexWeightTable[],4,FALSE),"")</f>
        <v/>
      </c>
      <c r="O95" s="24">
        <f>VLOOKUP(tblRiskRegister322[[#This Row],[Asset Class]],tblInherentImpacts3046[],2,FALSE)</f>
        <v>4</v>
      </c>
      <c r="P95" s="24">
        <f>VLOOKUP(tblRiskRegister322[[#This Row],[Asset Class]],tblInherentImpacts3046[],3,FALSE)</f>
        <v>4</v>
      </c>
      <c r="Q95" s="24">
        <f>VLOOKUP(tblRiskRegister322[[#This Row],[Asset Class]],tblInherentImpacts3046[],4,FALSE)</f>
        <v>5</v>
      </c>
      <c r="R95" s="24">
        <f>VLOOKUP(tblRiskRegister322[[#This Row],[Asset Class]],tblInherentImpacts3046[],5,FALSE)</f>
        <v>5</v>
      </c>
      <c r="S95" s="24" t="str">
        <f>IFERROR(MAX(tblRiskRegister322[[#This Row],[Impact to Mission]:[Impact to Obligations]])*tblRiskRegister322[[#This Row],[Expectancy Score]],"")</f>
        <v/>
      </c>
      <c r="T95" s="24" t="str">
        <f>tblRiskRegister322[[#This Row],[Risk Score]]</f>
        <v/>
      </c>
      <c r="U95" s="13"/>
      <c r="V95" s="50">
        <v>17.600000000000001</v>
      </c>
      <c r="W95" s="15" t="s">
        <v>203</v>
      </c>
      <c r="X95" s="15" t="s">
        <v>408</v>
      </c>
      <c r="Y95" s="26"/>
      <c r="Z95" s="16"/>
      <c r="AA95" s="23" t="str">
        <f>IFERROR(VLOOKUP(10*tblRiskRegister322[[#This Row],[Risk Treatment Safeguard Maturity Score]]+tblRiskRegister322[[#This Row],[VCDB Index]],tblHITIndexWeightTable[],4,FALSE),"")</f>
        <v/>
      </c>
      <c r="AB95" s="65"/>
      <c r="AC95" s="65"/>
      <c r="AD95" s="65"/>
      <c r="AE95" s="65"/>
      <c r="AF95" s="23" t="str">
        <f>IFERROR(MAX(tblRiskRegister322[[#This Row],[Risk Treatment Safeguard Impact to Mission]:[Risk Treatment Safeguard Impact to Obligations]])*tblRiskRegister322[[#This Row],[Risk Treatment
Safeguard Expectancy Score]],"")</f>
        <v/>
      </c>
      <c r="AG95" s="23" t="str">
        <f>IF(tblRiskRegister322[[#This Row],[Risk Score]]&gt;AcceptableRisk1,IF(tblRiskRegister322[[#This Row],[Risk Treatment Safeguard Risk Score]]&lt;AcceptableRisk1, IF(tblRiskRegister322[[#This Row],[Risk Treatment Safeguard Risk Score]]&lt;=tblRiskRegister322[[#This Row],[Risk Score]],"Yes","No"),"No"),"Yes")</f>
        <v>No</v>
      </c>
      <c r="AH95" s="17"/>
      <c r="AI95" s="17"/>
      <c r="AJ95" s="18"/>
    </row>
    <row r="96" spans="2:36" ht="56">
      <c r="B96" s="15" t="s">
        <v>95</v>
      </c>
      <c r="C96" s="15"/>
      <c r="D96" s="13">
        <v>17.7</v>
      </c>
      <c r="E96" s="14" t="s">
        <v>204</v>
      </c>
      <c r="F96" s="13"/>
      <c r="G96" s="13" t="s">
        <v>416</v>
      </c>
      <c r="H96" s="13" t="s">
        <v>514</v>
      </c>
      <c r="I96" s="14"/>
      <c r="J96" s="14"/>
      <c r="K96" s="14"/>
      <c r="L96" s="16"/>
      <c r="M96" s="24">
        <f>IFERROR(VLOOKUP(tblRiskRegister322[[#This Row],[Asset Class]],tblVCDBIndex[],4,FALSE),"")</f>
        <v>3</v>
      </c>
      <c r="N96" s="24" t="str">
        <f>IFERROR(VLOOKUP(10*tblRiskRegister322[[#This Row],[Safeguard Maturity Score]]+tblRiskRegister322[[#This Row],[VCDB Index]],tblHITIndexWeightTable[],4,FALSE),"")</f>
        <v/>
      </c>
      <c r="O96" s="24">
        <f>VLOOKUP(tblRiskRegister322[[#This Row],[Asset Class]],tblInherentImpacts3046[],2,FALSE)</f>
        <v>4</v>
      </c>
      <c r="P96" s="24">
        <f>VLOOKUP(tblRiskRegister322[[#This Row],[Asset Class]],tblInherentImpacts3046[],3,FALSE)</f>
        <v>4</v>
      </c>
      <c r="Q96" s="24">
        <f>VLOOKUP(tblRiskRegister322[[#This Row],[Asset Class]],tblInherentImpacts3046[],4,FALSE)</f>
        <v>5</v>
      </c>
      <c r="R96" s="24">
        <f>VLOOKUP(tblRiskRegister322[[#This Row],[Asset Class]],tblInherentImpacts3046[],5,FALSE)</f>
        <v>5</v>
      </c>
      <c r="S96" s="24" t="str">
        <f>IFERROR(MAX(tblRiskRegister322[[#This Row],[Impact to Mission]:[Impact to Obligations]])*tblRiskRegister322[[#This Row],[Expectancy Score]],"")</f>
        <v/>
      </c>
      <c r="T96" s="24" t="str">
        <f>tblRiskRegister322[[#This Row],[Risk Score]]</f>
        <v/>
      </c>
      <c r="U96" s="13"/>
      <c r="V96" s="50">
        <v>17.7</v>
      </c>
      <c r="W96" s="15" t="s">
        <v>204</v>
      </c>
      <c r="X96" s="15" t="s">
        <v>409</v>
      </c>
      <c r="Y96" s="26"/>
      <c r="Z96" s="16"/>
      <c r="AA96" s="23" t="str">
        <f>IFERROR(VLOOKUP(10*tblRiskRegister322[[#This Row],[Risk Treatment Safeguard Maturity Score]]+tblRiskRegister322[[#This Row],[VCDB Index]],tblHITIndexWeightTable[],4,FALSE),"")</f>
        <v/>
      </c>
      <c r="AB96" s="65"/>
      <c r="AC96" s="65"/>
      <c r="AD96" s="65"/>
      <c r="AE96" s="65"/>
      <c r="AF96" s="23" t="str">
        <f>IFERROR(MAX(tblRiskRegister322[[#This Row],[Risk Treatment Safeguard Impact to Mission]:[Risk Treatment Safeguard Impact to Obligations]])*tblRiskRegister322[[#This Row],[Risk Treatment
Safeguard Expectancy Score]],"")</f>
        <v/>
      </c>
      <c r="AG96" s="23" t="str">
        <f>IF(tblRiskRegister322[[#This Row],[Risk Score]]&gt;AcceptableRisk1,IF(tblRiskRegister322[[#This Row],[Risk Treatment Safeguard Risk Score]]&lt;AcceptableRisk1, IF(tblRiskRegister322[[#This Row],[Risk Treatment Safeguard Risk Score]]&lt;=tblRiskRegister322[[#This Row],[Risk Score]],"Yes","No"),"No"),"Yes")</f>
        <v>No</v>
      </c>
      <c r="AH96" s="17"/>
      <c r="AI96" s="17"/>
      <c r="AJ96" s="18"/>
    </row>
    <row r="97" spans="2:36" ht="28">
      <c r="B97" s="15" t="s">
        <v>95</v>
      </c>
      <c r="C97" s="15"/>
      <c r="D97" s="13">
        <v>17.8</v>
      </c>
      <c r="E97" s="14" t="s">
        <v>205</v>
      </c>
      <c r="F97" s="13"/>
      <c r="G97" s="13" t="s">
        <v>416</v>
      </c>
      <c r="H97" s="13" t="s">
        <v>514</v>
      </c>
      <c r="I97" s="14"/>
      <c r="J97" s="14"/>
      <c r="K97" s="14"/>
      <c r="L97" s="16"/>
      <c r="M97" s="24">
        <f>IFERROR(VLOOKUP(tblRiskRegister322[[#This Row],[Asset Class]],tblVCDBIndex[],4,FALSE),"")</f>
        <v>3</v>
      </c>
      <c r="N97" s="24" t="str">
        <f>IFERROR(VLOOKUP(10*tblRiskRegister322[[#This Row],[Safeguard Maturity Score]]+tblRiskRegister322[[#This Row],[VCDB Index]],tblHITIndexWeightTable[],4,FALSE),"")</f>
        <v/>
      </c>
      <c r="O97" s="24">
        <f>VLOOKUP(tblRiskRegister322[[#This Row],[Asset Class]],tblInherentImpacts3046[],2,FALSE)</f>
        <v>4</v>
      </c>
      <c r="P97" s="24">
        <f>VLOOKUP(tblRiskRegister322[[#This Row],[Asset Class]],tblInherentImpacts3046[],3,FALSE)</f>
        <v>4</v>
      </c>
      <c r="Q97" s="24">
        <f>VLOOKUP(tblRiskRegister322[[#This Row],[Asset Class]],tblInherentImpacts3046[],4,FALSE)</f>
        <v>5</v>
      </c>
      <c r="R97" s="24">
        <f>VLOOKUP(tblRiskRegister322[[#This Row],[Asset Class]],tblInherentImpacts3046[],5,FALSE)</f>
        <v>5</v>
      </c>
      <c r="S97" s="24" t="str">
        <f>IFERROR(MAX(tblRiskRegister322[[#This Row],[Impact to Mission]:[Impact to Obligations]])*tblRiskRegister322[[#This Row],[Expectancy Score]],"")</f>
        <v/>
      </c>
      <c r="T97" s="24" t="str">
        <f>tblRiskRegister322[[#This Row],[Risk Score]]</f>
        <v/>
      </c>
      <c r="U97" s="13"/>
      <c r="V97" s="50">
        <v>17.8</v>
      </c>
      <c r="W97" s="15" t="s">
        <v>205</v>
      </c>
      <c r="X97" s="15" t="s">
        <v>410</v>
      </c>
      <c r="Y97" s="26"/>
      <c r="Z97" s="16"/>
      <c r="AA97" s="23" t="str">
        <f>IFERROR(VLOOKUP(10*tblRiskRegister322[[#This Row],[Risk Treatment Safeguard Maturity Score]]+tblRiskRegister322[[#This Row],[VCDB Index]],tblHITIndexWeightTable[],4,FALSE),"")</f>
        <v/>
      </c>
      <c r="AB97" s="65"/>
      <c r="AC97" s="65"/>
      <c r="AD97" s="65"/>
      <c r="AE97" s="65"/>
      <c r="AF97" s="23" t="str">
        <f>IFERROR(MAX(tblRiskRegister322[[#This Row],[Risk Treatment Safeguard Impact to Mission]:[Risk Treatment Safeguard Impact to Obligations]])*tblRiskRegister322[[#This Row],[Risk Treatment
Safeguard Expectancy Score]],"")</f>
        <v/>
      </c>
      <c r="AG97" s="23" t="str">
        <f>IF(tblRiskRegister322[[#This Row],[Risk Score]]&gt;AcceptableRisk1,IF(tblRiskRegister322[[#This Row],[Risk Treatment Safeguard Risk Score]]&lt;AcceptableRisk1, IF(tblRiskRegister322[[#This Row],[Risk Treatment Safeguard Risk Score]]&lt;=tblRiskRegister322[[#This Row],[Risk Score]],"Yes","No"),"No"),"Yes")</f>
        <v>No</v>
      </c>
      <c r="AH97" s="17"/>
      <c r="AI97" s="17"/>
      <c r="AJ97" s="18"/>
    </row>
    <row r="98" spans="2:36" ht="84">
      <c r="B98" s="15" t="s">
        <v>95</v>
      </c>
      <c r="C98" s="15"/>
      <c r="D98" s="13">
        <v>18.100000000000001</v>
      </c>
      <c r="E98" s="14" t="s">
        <v>206</v>
      </c>
      <c r="F98" s="13"/>
      <c r="G98" s="13" t="s">
        <v>416</v>
      </c>
      <c r="H98" s="13" t="s">
        <v>510</v>
      </c>
      <c r="I98" s="14"/>
      <c r="J98" s="14"/>
      <c r="K98" s="14"/>
      <c r="L98" s="16"/>
      <c r="M98" s="24">
        <f>IFERROR(VLOOKUP(tblRiskRegister322[[#This Row],[Asset Class]],tblVCDBIndex[],4,FALSE),"")</f>
        <v>3</v>
      </c>
      <c r="N98" s="24" t="str">
        <f>IFERROR(VLOOKUP(10*tblRiskRegister322[[#This Row],[Safeguard Maturity Score]]+tblRiskRegister322[[#This Row],[VCDB Index]],tblHITIndexWeightTable[],4,FALSE),"")</f>
        <v/>
      </c>
      <c r="O98" s="24">
        <f>VLOOKUP(tblRiskRegister322[[#This Row],[Asset Class]],tblInherentImpacts3046[],2,FALSE)</f>
        <v>4</v>
      </c>
      <c r="P98" s="24">
        <f>VLOOKUP(tblRiskRegister322[[#This Row],[Asset Class]],tblInherentImpacts3046[],3,FALSE)</f>
        <v>4</v>
      </c>
      <c r="Q98" s="24">
        <f>VLOOKUP(tblRiskRegister322[[#This Row],[Asset Class]],tblInherentImpacts3046[],4,FALSE)</f>
        <v>5</v>
      </c>
      <c r="R98" s="24">
        <f>VLOOKUP(tblRiskRegister322[[#This Row],[Asset Class]],tblInherentImpacts3046[],5,FALSE)</f>
        <v>5</v>
      </c>
      <c r="S98" s="24" t="str">
        <f>IFERROR(MAX(tblRiskRegister322[[#This Row],[Impact to Mission]:[Impact to Obligations]])*tblRiskRegister322[[#This Row],[Expectancy Score]],"")</f>
        <v/>
      </c>
      <c r="T98" s="24" t="str">
        <f>tblRiskRegister322[[#This Row],[Risk Score]]</f>
        <v/>
      </c>
      <c r="U98" s="13"/>
      <c r="V98" s="50">
        <v>18.100000000000001</v>
      </c>
      <c r="W98" s="15" t="s">
        <v>206</v>
      </c>
      <c r="X98" s="15" t="s">
        <v>411</v>
      </c>
      <c r="Y98" s="26"/>
      <c r="Z98" s="16"/>
      <c r="AA98" s="23" t="str">
        <f>IFERROR(VLOOKUP(10*tblRiskRegister322[[#This Row],[Risk Treatment Safeguard Maturity Score]]+tblRiskRegister322[[#This Row],[VCDB Index]],tblHITIndexWeightTable[],4,FALSE),"")</f>
        <v/>
      </c>
      <c r="AB98" s="65"/>
      <c r="AC98" s="65"/>
      <c r="AD98" s="65"/>
      <c r="AE98" s="65"/>
      <c r="AF98" s="23" t="str">
        <f>IFERROR(MAX(tblRiskRegister322[[#This Row],[Risk Treatment Safeguard Impact to Mission]:[Risk Treatment Safeguard Impact to Obligations]])*tblRiskRegister322[[#This Row],[Risk Treatment
Safeguard Expectancy Score]],"")</f>
        <v/>
      </c>
      <c r="AG98" s="23" t="str">
        <f>IF(tblRiskRegister322[[#This Row],[Risk Score]]&gt;AcceptableRisk1,IF(tblRiskRegister322[[#This Row],[Risk Treatment Safeguard Risk Score]]&lt;AcceptableRisk1, IF(tblRiskRegister322[[#This Row],[Risk Treatment Safeguard Risk Score]]&lt;=tblRiskRegister322[[#This Row],[Risk Score]],"Yes","No"),"No"),"Yes")</f>
        <v>No</v>
      </c>
      <c r="AH98" s="17"/>
      <c r="AI98" s="17"/>
      <c r="AJ98" s="18"/>
    </row>
    <row r="99" spans="2:36" ht="28">
      <c r="B99" s="15" t="s">
        <v>93</v>
      </c>
      <c r="C99" s="15"/>
      <c r="D99" s="13">
        <v>3.12</v>
      </c>
      <c r="E99" s="14" t="s">
        <v>207</v>
      </c>
      <c r="F99" s="13"/>
      <c r="G99" s="13" t="s">
        <v>416</v>
      </c>
      <c r="H99" s="13" t="s">
        <v>512</v>
      </c>
      <c r="I99" s="14"/>
      <c r="J99" s="14"/>
      <c r="K99" s="14"/>
      <c r="L99" s="66">
        <v>4</v>
      </c>
      <c r="M99" s="24">
        <f>IFERROR(VLOOKUP(tblRiskRegister322[[#This Row],[Asset Class]],tblVCDBIndex[],4,FALSE),"")</f>
        <v>1</v>
      </c>
      <c r="N99" s="24">
        <f>IFERROR(VLOOKUP(10*tblRiskRegister322[[#This Row],[Safeguard Maturity Score]]+tblRiskRegister322[[#This Row],[VCDB Index]],tblHITIndexWeightTable[],4,FALSE),"")</f>
        <v>1</v>
      </c>
      <c r="O99" s="24">
        <f>VLOOKUP(tblRiskRegister322[[#This Row],[Asset Class]],tblInherentImpacts3046[],2,FALSE)</f>
        <v>3</v>
      </c>
      <c r="P99" s="24">
        <f>VLOOKUP(tblRiskRegister322[[#This Row],[Asset Class]],tblInherentImpacts3046[],3,FALSE)</f>
        <v>4</v>
      </c>
      <c r="Q99" s="24">
        <f>VLOOKUP(tblRiskRegister322[[#This Row],[Asset Class]],tblInherentImpacts3046[],4,FALSE)</f>
        <v>3</v>
      </c>
      <c r="R99" s="24">
        <f>VLOOKUP(tblRiskRegister322[[#This Row],[Asset Class]],tblInherentImpacts3046[],5,FALSE)</f>
        <v>1</v>
      </c>
      <c r="S99" s="24">
        <f>IFERROR(MAX(tblRiskRegister322[[#This Row],[Impact to Mission]:[Impact to Obligations]])*tblRiskRegister322[[#This Row],[Expectancy Score]],"")</f>
        <v>4</v>
      </c>
      <c r="T99" s="24">
        <f>tblRiskRegister322[[#This Row],[Risk Score]]</f>
        <v>4</v>
      </c>
      <c r="U99" s="13"/>
      <c r="V99" s="50">
        <v>3.12</v>
      </c>
      <c r="W99" s="15" t="s">
        <v>207</v>
      </c>
      <c r="X99" s="15" t="s">
        <v>305</v>
      </c>
      <c r="Y99" s="26"/>
      <c r="Z99" s="16"/>
      <c r="AA99" s="23" t="str">
        <f>IFERROR(VLOOKUP(10*tblRiskRegister322[[#This Row],[Risk Treatment Safeguard Maturity Score]]+tblRiskRegister322[[#This Row],[VCDB Index]],tblHITIndexWeightTable[],4,FALSE),"")</f>
        <v/>
      </c>
      <c r="AB99" s="65"/>
      <c r="AC99" s="65"/>
      <c r="AD99" s="65"/>
      <c r="AE99" s="65"/>
      <c r="AF99" s="23" t="str">
        <f>IFERROR(MAX(tblRiskRegister322[[#This Row],[Risk Treatment Safeguard Impact to Mission]:[Risk Treatment Safeguard Impact to Obligations]])*tblRiskRegister322[[#This Row],[Risk Treatment
Safeguard Expectancy Score]],"")</f>
        <v/>
      </c>
      <c r="AG99" s="23" t="str">
        <f>IF(tblRiskRegister322[[#This Row],[Risk Score]]&gt;AcceptableRisk1,IF(tblRiskRegister322[[#This Row],[Risk Treatment Safeguard Risk Score]]&lt;AcceptableRisk1, IF(tblRiskRegister322[[#This Row],[Risk Treatment Safeguard Risk Score]]&lt;=tblRiskRegister322[[#This Row],[Risk Score]],"Yes","No"),"No"),"Yes")</f>
        <v>Yes</v>
      </c>
      <c r="AH99" s="17"/>
      <c r="AI99" s="17"/>
      <c r="AJ99" s="18"/>
    </row>
    <row r="100" spans="2:36" ht="42">
      <c r="B100" s="15" t="s">
        <v>93</v>
      </c>
      <c r="C100" s="15"/>
      <c r="D100" s="13">
        <v>4.2</v>
      </c>
      <c r="E100" s="14" t="s">
        <v>49</v>
      </c>
      <c r="F100" s="13" t="s">
        <v>416</v>
      </c>
      <c r="G100" s="13" t="s">
        <v>416</v>
      </c>
      <c r="H100" s="13" t="s">
        <v>512</v>
      </c>
      <c r="I100" s="14"/>
      <c r="J100" s="14"/>
      <c r="K100" s="14"/>
      <c r="L100" s="66">
        <v>1</v>
      </c>
      <c r="M100" s="24">
        <f>IFERROR(VLOOKUP(tblRiskRegister322[[#This Row],[Asset Class]],tblVCDBIndex[],4,FALSE),"")</f>
        <v>1</v>
      </c>
      <c r="N100" s="24">
        <f>IFERROR(VLOOKUP(10*tblRiskRegister322[[#This Row],[Safeguard Maturity Score]]+tblRiskRegister322[[#This Row],[VCDB Index]],tblHITIndexWeightTable[],4,FALSE),"")</f>
        <v>4</v>
      </c>
      <c r="O100" s="24">
        <f>VLOOKUP(tblRiskRegister322[[#This Row],[Asset Class]],tblInherentImpacts3046[],2,FALSE)</f>
        <v>3</v>
      </c>
      <c r="P100" s="24">
        <f>VLOOKUP(tblRiskRegister322[[#This Row],[Asset Class]],tblInherentImpacts3046[],3,FALSE)</f>
        <v>4</v>
      </c>
      <c r="Q100" s="24">
        <f>VLOOKUP(tblRiskRegister322[[#This Row],[Asset Class]],tblInherentImpacts3046[],4,FALSE)</f>
        <v>3</v>
      </c>
      <c r="R100" s="24">
        <f>VLOOKUP(tblRiskRegister322[[#This Row],[Asset Class]],tblInherentImpacts3046[],5,FALSE)</f>
        <v>1</v>
      </c>
      <c r="S100" s="24">
        <f>IFERROR(MAX(tblRiskRegister322[[#This Row],[Impact to Mission]:[Impact to Obligations]])*tblRiskRegister322[[#This Row],[Expectancy Score]],"")</f>
        <v>16</v>
      </c>
      <c r="T100" s="24">
        <f>tblRiskRegister322[[#This Row],[Risk Score]]</f>
        <v>16</v>
      </c>
      <c r="U100" s="13"/>
      <c r="V100" s="50">
        <v>4.2</v>
      </c>
      <c r="W100" s="15" t="s">
        <v>49</v>
      </c>
      <c r="X100" s="15" t="s">
        <v>307</v>
      </c>
      <c r="Y100" s="26"/>
      <c r="Z100" s="16"/>
      <c r="AA100" s="23" t="str">
        <f>IFERROR(VLOOKUP(10*tblRiskRegister322[[#This Row],[Risk Treatment Safeguard Maturity Score]]+tblRiskRegister322[[#This Row],[VCDB Index]],tblHITIndexWeightTable[],4,FALSE),"")</f>
        <v/>
      </c>
      <c r="AB100" s="65"/>
      <c r="AC100" s="65"/>
      <c r="AD100" s="65"/>
      <c r="AE100" s="65"/>
      <c r="AF100" s="23" t="str">
        <f>IFERROR(MAX(tblRiskRegister322[[#This Row],[Risk Treatment Safeguard Impact to Mission]:[Risk Treatment Safeguard Impact to Obligations]])*tblRiskRegister322[[#This Row],[Risk Treatment
Safeguard Expectancy Score]],"")</f>
        <v/>
      </c>
      <c r="AG100" s="23" t="str">
        <f>IF(tblRiskRegister322[[#This Row],[Risk Score]]&gt;AcceptableRisk1,IF(tblRiskRegister322[[#This Row],[Risk Treatment Safeguard Risk Score]]&lt;AcceptableRisk1, IF(tblRiskRegister322[[#This Row],[Risk Treatment Safeguard Risk Score]]&lt;=tblRiskRegister322[[#This Row],[Risk Score]],"Yes","No"),"No"),"Yes")</f>
        <v>No</v>
      </c>
      <c r="AH100" s="17"/>
      <c r="AI100" s="17"/>
      <c r="AJ100" s="18"/>
    </row>
    <row r="101" spans="2:36" ht="70">
      <c r="B101" s="15" t="s">
        <v>93</v>
      </c>
      <c r="C101" s="15"/>
      <c r="D101" s="13">
        <v>4.5999999999999996</v>
      </c>
      <c r="E101" s="14" t="s">
        <v>53</v>
      </c>
      <c r="F101" s="13" t="s">
        <v>416</v>
      </c>
      <c r="G101" s="13" t="s">
        <v>416</v>
      </c>
      <c r="H101" s="13" t="s">
        <v>512</v>
      </c>
      <c r="I101" s="14"/>
      <c r="J101" s="14"/>
      <c r="K101" s="14"/>
      <c r="L101" s="66">
        <v>4</v>
      </c>
      <c r="M101" s="24">
        <f>IFERROR(VLOOKUP(tblRiskRegister322[[#This Row],[Asset Class]],tblVCDBIndex[],4,FALSE),"")</f>
        <v>1</v>
      </c>
      <c r="N101" s="24">
        <f>IFERROR(VLOOKUP(10*tblRiskRegister322[[#This Row],[Safeguard Maturity Score]]+tblRiskRegister322[[#This Row],[VCDB Index]],tblHITIndexWeightTable[],4,FALSE),"")</f>
        <v>1</v>
      </c>
      <c r="O101" s="24">
        <f>VLOOKUP(tblRiskRegister322[[#This Row],[Asset Class]],tblInherentImpacts3046[],2,FALSE)</f>
        <v>3</v>
      </c>
      <c r="P101" s="24">
        <f>VLOOKUP(tblRiskRegister322[[#This Row],[Asset Class]],tblInherentImpacts3046[],3,FALSE)</f>
        <v>4</v>
      </c>
      <c r="Q101" s="24">
        <f>VLOOKUP(tblRiskRegister322[[#This Row],[Asset Class]],tblInherentImpacts3046[],4,FALSE)</f>
        <v>3</v>
      </c>
      <c r="R101" s="24">
        <f>VLOOKUP(tblRiskRegister322[[#This Row],[Asset Class]],tblInherentImpacts3046[],5,FALSE)</f>
        <v>1</v>
      </c>
      <c r="S101" s="24">
        <f>IFERROR(MAX(tblRiskRegister322[[#This Row],[Impact to Mission]:[Impact to Obligations]])*tblRiskRegister322[[#This Row],[Expectancy Score]],"")</f>
        <v>4</v>
      </c>
      <c r="T101" s="24">
        <f>tblRiskRegister322[[#This Row],[Risk Score]]</f>
        <v>4</v>
      </c>
      <c r="U101" s="13"/>
      <c r="V101" s="50">
        <v>4.5999999999999996</v>
      </c>
      <c r="W101" s="15" t="s">
        <v>53</v>
      </c>
      <c r="X101" s="15" t="s">
        <v>311</v>
      </c>
      <c r="Y101" s="26"/>
      <c r="Z101" s="16"/>
      <c r="AA101" s="23" t="str">
        <f>IFERROR(VLOOKUP(10*tblRiskRegister322[[#This Row],[Risk Treatment Safeguard Maturity Score]]+tblRiskRegister322[[#This Row],[VCDB Index]],tblHITIndexWeightTable[],4,FALSE),"")</f>
        <v/>
      </c>
      <c r="AB101" s="65"/>
      <c r="AC101" s="65"/>
      <c r="AD101" s="65"/>
      <c r="AE101" s="65"/>
      <c r="AF101" s="23" t="str">
        <f>IFERROR(MAX(tblRiskRegister322[[#This Row],[Risk Treatment Safeguard Impact to Mission]:[Risk Treatment Safeguard Impact to Obligations]])*tblRiskRegister322[[#This Row],[Risk Treatment
Safeguard Expectancy Score]],"")</f>
        <v/>
      </c>
      <c r="AG101" s="23" t="str">
        <f>IF(tblRiskRegister322[[#This Row],[Risk Score]]&gt;AcceptableRisk1,IF(tblRiskRegister322[[#This Row],[Risk Treatment Safeguard Risk Score]]&lt;AcceptableRisk1, IF(tblRiskRegister322[[#This Row],[Risk Treatment Safeguard Risk Score]]&lt;=tblRiskRegister322[[#This Row],[Risk Score]],"Yes","No"),"No"),"Yes")</f>
        <v>Yes</v>
      </c>
      <c r="AH101" s="17"/>
      <c r="AI101" s="17"/>
      <c r="AJ101" s="18"/>
    </row>
    <row r="102" spans="2:36" ht="56">
      <c r="B102" s="15" t="s">
        <v>93</v>
      </c>
      <c r="C102" s="15"/>
      <c r="D102" s="13">
        <v>8.1</v>
      </c>
      <c r="E102" s="14" t="s">
        <v>66</v>
      </c>
      <c r="F102" s="13" t="s">
        <v>416</v>
      </c>
      <c r="G102" s="13" t="s">
        <v>416</v>
      </c>
      <c r="H102" s="13" t="s">
        <v>512</v>
      </c>
      <c r="I102" s="14"/>
      <c r="J102" s="14"/>
      <c r="K102" s="14"/>
      <c r="L102" s="16"/>
      <c r="M102" s="24">
        <f>IFERROR(VLOOKUP(tblRiskRegister322[[#This Row],[Asset Class]],tblVCDBIndex[],4,FALSE),"")</f>
        <v>1</v>
      </c>
      <c r="N102" s="24" t="str">
        <f>IFERROR(VLOOKUP(10*tblRiskRegister322[[#This Row],[Safeguard Maturity Score]]+tblRiskRegister322[[#This Row],[VCDB Index]],tblHITIndexWeightTable[],4,FALSE),"")</f>
        <v/>
      </c>
      <c r="O102" s="24">
        <f>VLOOKUP(tblRiskRegister322[[#This Row],[Asset Class]],tblInherentImpacts3046[],2,FALSE)</f>
        <v>3</v>
      </c>
      <c r="P102" s="24">
        <f>VLOOKUP(tblRiskRegister322[[#This Row],[Asset Class]],tblInherentImpacts3046[],3,FALSE)</f>
        <v>4</v>
      </c>
      <c r="Q102" s="24">
        <f>VLOOKUP(tblRiskRegister322[[#This Row],[Asset Class]],tblInherentImpacts3046[],4,FALSE)</f>
        <v>3</v>
      </c>
      <c r="R102" s="24">
        <f>VLOOKUP(tblRiskRegister322[[#This Row],[Asset Class]],tblInherentImpacts3046[],5,FALSE)</f>
        <v>1</v>
      </c>
      <c r="S102" s="24" t="str">
        <f>IFERROR(MAX(tblRiskRegister322[[#This Row],[Impact to Mission]:[Impact to Obligations]])*tblRiskRegister322[[#This Row],[Expectancy Score]],"")</f>
        <v/>
      </c>
      <c r="T102" s="24" t="str">
        <f>tblRiskRegister322[[#This Row],[Risk Score]]</f>
        <v/>
      </c>
      <c r="U102" s="13"/>
      <c r="V102" s="50">
        <v>8.1</v>
      </c>
      <c r="W102" s="15" t="s">
        <v>66</v>
      </c>
      <c r="X102" s="15" t="s">
        <v>337</v>
      </c>
      <c r="Y102" s="26"/>
      <c r="Z102" s="16"/>
      <c r="AA102" s="23" t="str">
        <f>IFERROR(VLOOKUP(10*tblRiskRegister322[[#This Row],[Risk Treatment Safeguard Maturity Score]]+tblRiskRegister322[[#This Row],[VCDB Index]],tblHITIndexWeightTable[],4,FALSE),"")</f>
        <v/>
      </c>
      <c r="AB102" s="65"/>
      <c r="AC102" s="65"/>
      <c r="AD102" s="65"/>
      <c r="AE102" s="65"/>
      <c r="AF102" s="23" t="str">
        <f>IFERROR(MAX(tblRiskRegister322[[#This Row],[Risk Treatment Safeguard Impact to Mission]:[Risk Treatment Safeguard Impact to Obligations]])*tblRiskRegister322[[#This Row],[Risk Treatment
Safeguard Expectancy Score]],"")</f>
        <v/>
      </c>
      <c r="AG102" s="23" t="str">
        <f>IF(tblRiskRegister322[[#This Row],[Risk Score]]&gt;AcceptableRisk1,IF(tblRiskRegister322[[#This Row],[Risk Treatment Safeguard Risk Score]]&lt;AcceptableRisk1, IF(tblRiskRegister322[[#This Row],[Risk Treatment Safeguard Risk Score]]&lt;=tblRiskRegister322[[#This Row],[Risk Score]],"Yes","No"),"No"),"Yes")</f>
        <v>No</v>
      </c>
      <c r="AH102" s="17"/>
      <c r="AI102" s="17"/>
      <c r="AJ102" s="18"/>
    </row>
    <row r="103" spans="2:36" ht="28">
      <c r="B103" s="15" t="s">
        <v>93</v>
      </c>
      <c r="C103" s="15"/>
      <c r="D103" s="13">
        <v>8.1999999999999993</v>
      </c>
      <c r="E103" s="14" t="s">
        <v>67</v>
      </c>
      <c r="F103" s="13" t="s">
        <v>416</v>
      </c>
      <c r="G103" s="13" t="s">
        <v>416</v>
      </c>
      <c r="H103" s="13" t="s">
        <v>513</v>
      </c>
      <c r="I103" s="14"/>
      <c r="J103" s="14"/>
      <c r="K103" s="14"/>
      <c r="L103" s="16"/>
      <c r="M103" s="24">
        <f>IFERROR(VLOOKUP(tblRiskRegister322[[#This Row],[Asset Class]],tblVCDBIndex[],4,FALSE),"")</f>
        <v>1</v>
      </c>
      <c r="N103" s="24" t="str">
        <f>IFERROR(VLOOKUP(10*tblRiskRegister322[[#This Row],[Safeguard Maturity Score]]+tblRiskRegister322[[#This Row],[VCDB Index]],tblHITIndexWeightTable[],4,FALSE),"")</f>
        <v/>
      </c>
      <c r="O103" s="24">
        <f>VLOOKUP(tblRiskRegister322[[#This Row],[Asset Class]],tblInherentImpacts3046[],2,FALSE)</f>
        <v>3</v>
      </c>
      <c r="P103" s="24">
        <f>VLOOKUP(tblRiskRegister322[[#This Row],[Asset Class]],tblInherentImpacts3046[],3,FALSE)</f>
        <v>4</v>
      </c>
      <c r="Q103" s="24">
        <f>VLOOKUP(tblRiskRegister322[[#This Row],[Asset Class]],tblInherentImpacts3046[],4,FALSE)</f>
        <v>3</v>
      </c>
      <c r="R103" s="24">
        <f>VLOOKUP(tblRiskRegister322[[#This Row],[Asset Class]],tblInherentImpacts3046[],5,FALSE)</f>
        <v>1</v>
      </c>
      <c r="S103" s="24" t="str">
        <f>IFERROR(MAX(tblRiskRegister322[[#This Row],[Impact to Mission]:[Impact to Obligations]])*tblRiskRegister322[[#This Row],[Expectancy Score]],"")</f>
        <v/>
      </c>
      <c r="T103" s="24" t="str">
        <f>tblRiskRegister322[[#This Row],[Risk Score]]</f>
        <v/>
      </c>
      <c r="U103" s="13"/>
      <c r="V103" s="50">
        <v>8.1999999999999993</v>
      </c>
      <c r="W103" s="15" t="s">
        <v>67</v>
      </c>
      <c r="X103" s="15" t="s">
        <v>338</v>
      </c>
      <c r="Y103" s="26"/>
      <c r="Z103" s="16"/>
      <c r="AA103" s="23" t="str">
        <f>IFERROR(VLOOKUP(10*tblRiskRegister322[[#This Row],[Risk Treatment Safeguard Maturity Score]]+tblRiskRegister322[[#This Row],[VCDB Index]],tblHITIndexWeightTable[],4,FALSE),"")</f>
        <v/>
      </c>
      <c r="AB103" s="65"/>
      <c r="AC103" s="65"/>
      <c r="AD103" s="65"/>
      <c r="AE103" s="65"/>
      <c r="AF103" s="23" t="str">
        <f>IFERROR(MAX(tblRiskRegister322[[#This Row],[Risk Treatment Safeguard Impact to Mission]:[Risk Treatment Safeguard Impact to Obligations]])*tblRiskRegister322[[#This Row],[Risk Treatment
Safeguard Expectancy Score]],"")</f>
        <v/>
      </c>
      <c r="AG103" s="23" t="str">
        <f>IF(tblRiskRegister322[[#This Row],[Risk Score]]&gt;AcceptableRisk1,IF(tblRiskRegister322[[#This Row],[Risk Treatment Safeguard Risk Score]]&lt;AcceptableRisk1, IF(tblRiskRegister322[[#This Row],[Risk Treatment Safeguard Risk Score]]&lt;=tblRiskRegister322[[#This Row],[Risk Score]],"Yes","No"),"No"),"Yes")</f>
        <v>No</v>
      </c>
      <c r="AH103" s="17"/>
      <c r="AI103" s="17"/>
      <c r="AJ103" s="18"/>
    </row>
    <row r="104" spans="2:36" ht="28">
      <c r="B104" s="15" t="s">
        <v>93</v>
      </c>
      <c r="C104" s="15"/>
      <c r="D104" s="13">
        <v>8.3000000000000007</v>
      </c>
      <c r="E104" s="14" t="s">
        <v>68</v>
      </c>
      <c r="F104" s="13" t="s">
        <v>416</v>
      </c>
      <c r="G104" s="13" t="s">
        <v>416</v>
      </c>
      <c r="H104" s="13" t="s">
        <v>512</v>
      </c>
      <c r="I104" s="14"/>
      <c r="J104" s="14"/>
      <c r="K104" s="14"/>
      <c r="L104" s="16"/>
      <c r="M104" s="24">
        <f>IFERROR(VLOOKUP(tblRiskRegister322[[#This Row],[Asset Class]],tblVCDBIndex[],4,FALSE),"")</f>
        <v>1</v>
      </c>
      <c r="N104" s="24" t="str">
        <f>IFERROR(VLOOKUP(10*tblRiskRegister322[[#This Row],[Safeguard Maturity Score]]+tblRiskRegister322[[#This Row],[VCDB Index]],tblHITIndexWeightTable[],4,FALSE),"")</f>
        <v/>
      </c>
      <c r="O104" s="24">
        <f>VLOOKUP(tblRiskRegister322[[#This Row],[Asset Class]],tblInherentImpacts3046[],2,FALSE)</f>
        <v>3</v>
      </c>
      <c r="P104" s="24">
        <f>VLOOKUP(tblRiskRegister322[[#This Row],[Asset Class]],tblInherentImpacts3046[],3,FALSE)</f>
        <v>4</v>
      </c>
      <c r="Q104" s="24">
        <f>VLOOKUP(tblRiskRegister322[[#This Row],[Asset Class]],tblInherentImpacts3046[],4,FALSE)</f>
        <v>3</v>
      </c>
      <c r="R104" s="24">
        <f>VLOOKUP(tblRiskRegister322[[#This Row],[Asset Class]],tblInherentImpacts3046[],5,FALSE)</f>
        <v>1</v>
      </c>
      <c r="S104" s="24" t="str">
        <f>IFERROR(MAX(tblRiskRegister322[[#This Row],[Impact to Mission]:[Impact to Obligations]])*tblRiskRegister322[[#This Row],[Expectancy Score]],"")</f>
        <v/>
      </c>
      <c r="T104" s="24" t="str">
        <f>tblRiskRegister322[[#This Row],[Risk Score]]</f>
        <v/>
      </c>
      <c r="U104" s="13"/>
      <c r="V104" s="50">
        <v>8.3000000000000007</v>
      </c>
      <c r="W104" s="15" t="s">
        <v>68</v>
      </c>
      <c r="X104" s="15" t="s">
        <v>339</v>
      </c>
      <c r="Y104" s="26"/>
      <c r="Z104" s="16"/>
      <c r="AA104" s="23" t="str">
        <f>IFERROR(VLOOKUP(10*tblRiskRegister322[[#This Row],[Risk Treatment Safeguard Maturity Score]]+tblRiskRegister322[[#This Row],[VCDB Index]],tblHITIndexWeightTable[],4,FALSE),"")</f>
        <v/>
      </c>
      <c r="AB104" s="65"/>
      <c r="AC104" s="65"/>
      <c r="AD104" s="65"/>
      <c r="AE104" s="65"/>
      <c r="AF104" s="23" t="str">
        <f>IFERROR(MAX(tblRiskRegister322[[#This Row],[Risk Treatment Safeguard Impact to Mission]:[Risk Treatment Safeguard Impact to Obligations]])*tblRiskRegister322[[#This Row],[Risk Treatment
Safeguard Expectancy Score]],"")</f>
        <v/>
      </c>
      <c r="AG104" s="23" t="str">
        <f>IF(tblRiskRegister322[[#This Row],[Risk Score]]&gt;AcceptableRisk1,IF(tblRiskRegister322[[#This Row],[Risk Treatment Safeguard Risk Score]]&lt;AcceptableRisk1, IF(tblRiskRegister322[[#This Row],[Risk Treatment Safeguard Risk Score]]&lt;=tblRiskRegister322[[#This Row],[Risk Score]],"Yes","No"),"No"),"Yes")</f>
        <v>No</v>
      </c>
      <c r="AH104" s="17"/>
      <c r="AI104" s="17"/>
      <c r="AJ104" s="18"/>
    </row>
    <row r="105" spans="2:36" ht="28">
      <c r="B105" s="15" t="s">
        <v>93</v>
      </c>
      <c r="C105" s="15"/>
      <c r="D105" s="13">
        <v>8.4</v>
      </c>
      <c r="E105" s="14" t="s">
        <v>208</v>
      </c>
      <c r="F105" s="13"/>
      <c r="G105" s="13" t="s">
        <v>416</v>
      </c>
      <c r="H105" s="13" t="s">
        <v>512</v>
      </c>
      <c r="I105" s="14"/>
      <c r="J105" s="14"/>
      <c r="K105" s="14"/>
      <c r="L105" s="16"/>
      <c r="M105" s="24">
        <f>IFERROR(VLOOKUP(tblRiskRegister322[[#This Row],[Asset Class]],tblVCDBIndex[],4,FALSE),"")</f>
        <v>1</v>
      </c>
      <c r="N105" s="24" t="str">
        <f>IFERROR(VLOOKUP(10*tblRiskRegister322[[#This Row],[Safeguard Maturity Score]]+tblRiskRegister322[[#This Row],[VCDB Index]],tblHITIndexWeightTable[],4,FALSE),"")</f>
        <v/>
      </c>
      <c r="O105" s="24">
        <f>VLOOKUP(tblRiskRegister322[[#This Row],[Asset Class]],tblInherentImpacts3046[],2,FALSE)</f>
        <v>3</v>
      </c>
      <c r="P105" s="24">
        <f>VLOOKUP(tblRiskRegister322[[#This Row],[Asset Class]],tblInherentImpacts3046[],3,FALSE)</f>
        <v>4</v>
      </c>
      <c r="Q105" s="24">
        <f>VLOOKUP(tblRiskRegister322[[#This Row],[Asset Class]],tblInherentImpacts3046[],4,FALSE)</f>
        <v>3</v>
      </c>
      <c r="R105" s="24">
        <f>VLOOKUP(tblRiskRegister322[[#This Row],[Asset Class]],tblInherentImpacts3046[],5,FALSE)</f>
        <v>1</v>
      </c>
      <c r="S105" s="24" t="str">
        <f>IFERROR(MAX(tblRiskRegister322[[#This Row],[Impact to Mission]:[Impact to Obligations]])*tblRiskRegister322[[#This Row],[Expectancy Score]],"")</f>
        <v/>
      </c>
      <c r="T105" s="24" t="str">
        <f>tblRiskRegister322[[#This Row],[Risk Score]]</f>
        <v/>
      </c>
      <c r="U105" s="13"/>
      <c r="V105" s="50">
        <v>8.4</v>
      </c>
      <c r="W105" s="15" t="s">
        <v>208</v>
      </c>
      <c r="X105" s="15" t="s">
        <v>340</v>
      </c>
      <c r="Y105" s="26"/>
      <c r="Z105" s="16"/>
      <c r="AA105" s="23" t="str">
        <f>IFERROR(VLOOKUP(10*tblRiskRegister322[[#This Row],[Risk Treatment Safeguard Maturity Score]]+tblRiskRegister322[[#This Row],[VCDB Index]],tblHITIndexWeightTable[],4,FALSE),"")</f>
        <v/>
      </c>
      <c r="AB105" s="65"/>
      <c r="AC105" s="65"/>
      <c r="AD105" s="65"/>
      <c r="AE105" s="65"/>
      <c r="AF105" s="23" t="str">
        <f>IFERROR(MAX(tblRiskRegister322[[#This Row],[Risk Treatment Safeguard Impact to Mission]:[Risk Treatment Safeguard Impact to Obligations]])*tblRiskRegister322[[#This Row],[Risk Treatment
Safeguard Expectancy Score]],"")</f>
        <v/>
      </c>
      <c r="AG105" s="23" t="str">
        <f>IF(tblRiskRegister322[[#This Row],[Risk Score]]&gt;AcceptableRisk1,IF(tblRiskRegister322[[#This Row],[Risk Treatment Safeguard Risk Score]]&lt;AcceptableRisk1, IF(tblRiskRegister322[[#This Row],[Risk Treatment Safeguard Risk Score]]&lt;=tblRiskRegister322[[#This Row],[Risk Score]],"Yes","No"),"No"),"Yes")</f>
        <v>No</v>
      </c>
      <c r="AH105" s="17"/>
      <c r="AI105" s="17"/>
      <c r="AJ105" s="18"/>
    </row>
    <row r="106" spans="2:36" ht="42">
      <c r="B106" s="15" t="s">
        <v>93</v>
      </c>
      <c r="C106" s="15"/>
      <c r="D106" s="13">
        <v>8.5</v>
      </c>
      <c r="E106" s="14" t="s">
        <v>209</v>
      </c>
      <c r="F106" s="13"/>
      <c r="G106" s="13" t="s">
        <v>416</v>
      </c>
      <c r="H106" s="13" t="s">
        <v>513</v>
      </c>
      <c r="I106" s="14"/>
      <c r="J106" s="14"/>
      <c r="K106" s="14"/>
      <c r="L106" s="16"/>
      <c r="M106" s="24">
        <f>IFERROR(VLOOKUP(tblRiskRegister322[[#This Row],[Asset Class]],tblVCDBIndex[],4,FALSE),"")</f>
        <v>1</v>
      </c>
      <c r="N106" s="24" t="str">
        <f>IFERROR(VLOOKUP(10*tblRiskRegister322[[#This Row],[Safeguard Maturity Score]]+tblRiskRegister322[[#This Row],[VCDB Index]],tblHITIndexWeightTable[],4,FALSE),"")</f>
        <v/>
      </c>
      <c r="O106" s="24">
        <f>VLOOKUP(tblRiskRegister322[[#This Row],[Asset Class]],tblInherentImpacts3046[],2,FALSE)</f>
        <v>3</v>
      </c>
      <c r="P106" s="24">
        <f>VLOOKUP(tblRiskRegister322[[#This Row],[Asset Class]],tblInherentImpacts3046[],3,FALSE)</f>
        <v>4</v>
      </c>
      <c r="Q106" s="24">
        <f>VLOOKUP(tblRiskRegister322[[#This Row],[Asset Class]],tblInherentImpacts3046[],4,FALSE)</f>
        <v>3</v>
      </c>
      <c r="R106" s="24">
        <f>VLOOKUP(tblRiskRegister322[[#This Row],[Asset Class]],tblInherentImpacts3046[],5,FALSE)</f>
        <v>1</v>
      </c>
      <c r="S106" s="24" t="str">
        <f>IFERROR(MAX(tblRiskRegister322[[#This Row],[Impact to Mission]:[Impact to Obligations]])*tblRiskRegister322[[#This Row],[Expectancy Score]],"")</f>
        <v/>
      </c>
      <c r="T106" s="24" t="str">
        <f>tblRiskRegister322[[#This Row],[Risk Score]]</f>
        <v/>
      </c>
      <c r="U106" s="13"/>
      <c r="V106" s="50">
        <v>8.5</v>
      </c>
      <c r="W106" s="15" t="s">
        <v>209</v>
      </c>
      <c r="X106" s="15" t="s">
        <v>341</v>
      </c>
      <c r="Y106" s="26"/>
      <c r="Z106" s="16"/>
      <c r="AA106" s="23" t="str">
        <f>IFERROR(VLOOKUP(10*tblRiskRegister322[[#This Row],[Risk Treatment Safeguard Maturity Score]]+tblRiskRegister322[[#This Row],[VCDB Index]],tblHITIndexWeightTable[],4,FALSE),"")</f>
        <v/>
      </c>
      <c r="AB106" s="65"/>
      <c r="AC106" s="65"/>
      <c r="AD106" s="65"/>
      <c r="AE106" s="65"/>
      <c r="AF106" s="23" t="str">
        <f>IFERROR(MAX(tblRiskRegister322[[#This Row],[Risk Treatment Safeguard Impact to Mission]:[Risk Treatment Safeguard Impact to Obligations]])*tblRiskRegister322[[#This Row],[Risk Treatment
Safeguard Expectancy Score]],"")</f>
        <v/>
      </c>
      <c r="AG106" s="23" t="str">
        <f>IF(tblRiskRegister322[[#This Row],[Risk Score]]&gt;AcceptableRisk1,IF(tblRiskRegister322[[#This Row],[Risk Treatment Safeguard Risk Score]]&lt;AcceptableRisk1, IF(tblRiskRegister322[[#This Row],[Risk Treatment Safeguard Risk Score]]&lt;=tblRiskRegister322[[#This Row],[Risk Score]],"Yes","No"),"No"),"Yes")</f>
        <v>No</v>
      </c>
      <c r="AH106" s="17"/>
      <c r="AI106" s="17"/>
      <c r="AJ106" s="18"/>
    </row>
    <row r="107" spans="2:36" ht="14">
      <c r="B107" s="15" t="s">
        <v>93</v>
      </c>
      <c r="C107" s="15"/>
      <c r="D107" s="13">
        <v>8.6</v>
      </c>
      <c r="E107" s="14" t="s">
        <v>210</v>
      </c>
      <c r="F107" s="13"/>
      <c r="G107" s="13" t="s">
        <v>416</v>
      </c>
      <c r="H107" s="13" t="s">
        <v>513</v>
      </c>
      <c r="I107" s="14"/>
      <c r="J107" s="14"/>
      <c r="K107" s="14"/>
      <c r="L107" s="16"/>
      <c r="M107" s="24">
        <f>IFERROR(VLOOKUP(tblRiskRegister322[[#This Row],[Asset Class]],tblVCDBIndex[],4,FALSE),"")</f>
        <v>1</v>
      </c>
      <c r="N107" s="24" t="str">
        <f>IFERROR(VLOOKUP(10*tblRiskRegister322[[#This Row],[Safeguard Maturity Score]]+tblRiskRegister322[[#This Row],[VCDB Index]],tblHITIndexWeightTable[],4,FALSE),"")</f>
        <v/>
      </c>
      <c r="O107" s="24">
        <f>VLOOKUP(tblRiskRegister322[[#This Row],[Asset Class]],tblInherentImpacts3046[],2,FALSE)</f>
        <v>3</v>
      </c>
      <c r="P107" s="24">
        <f>VLOOKUP(tblRiskRegister322[[#This Row],[Asset Class]],tblInherentImpacts3046[],3,FALSE)</f>
        <v>4</v>
      </c>
      <c r="Q107" s="24">
        <f>VLOOKUP(tblRiskRegister322[[#This Row],[Asset Class]],tblInherentImpacts3046[],4,FALSE)</f>
        <v>3</v>
      </c>
      <c r="R107" s="24">
        <f>VLOOKUP(tblRiskRegister322[[#This Row],[Asset Class]],tblInherentImpacts3046[],5,FALSE)</f>
        <v>1</v>
      </c>
      <c r="S107" s="24" t="str">
        <f>IFERROR(MAX(tblRiskRegister322[[#This Row],[Impact to Mission]:[Impact to Obligations]])*tblRiskRegister322[[#This Row],[Expectancy Score]],"")</f>
        <v/>
      </c>
      <c r="T107" s="24" t="str">
        <f>tblRiskRegister322[[#This Row],[Risk Score]]</f>
        <v/>
      </c>
      <c r="U107" s="13"/>
      <c r="V107" s="50">
        <v>8.6</v>
      </c>
      <c r="W107" s="15" t="s">
        <v>210</v>
      </c>
      <c r="X107" s="15" t="s">
        <v>342</v>
      </c>
      <c r="Y107" s="26"/>
      <c r="Z107" s="16"/>
      <c r="AA107" s="23" t="str">
        <f>IFERROR(VLOOKUP(10*tblRiskRegister322[[#This Row],[Risk Treatment Safeguard Maturity Score]]+tblRiskRegister322[[#This Row],[VCDB Index]],tblHITIndexWeightTable[],4,FALSE),"")</f>
        <v/>
      </c>
      <c r="AB107" s="65"/>
      <c r="AC107" s="65"/>
      <c r="AD107" s="65"/>
      <c r="AE107" s="65"/>
      <c r="AF107" s="23" t="str">
        <f>IFERROR(MAX(tblRiskRegister322[[#This Row],[Risk Treatment Safeguard Impact to Mission]:[Risk Treatment Safeguard Impact to Obligations]])*tblRiskRegister322[[#This Row],[Risk Treatment
Safeguard Expectancy Score]],"")</f>
        <v/>
      </c>
      <c r="AG107" s="23" t="str">
        <f>IF(tblRiskRegister322[[#This Row],[Risk Score]]&gt;AcceptableRisk1,IF(tblRiskRegister322[[#This Row],[Risk Treatment Safeguard Risk Score]]&lt;AcceptableRisk1, IF(tblRiskRegister322[[#This Row],[Risk Treatment Safeguard Risk Score]]&lt;=tblRiskRegister322[[#This Row],[Risk Score]],"Yes","No"),"No"),"Yes")</f>
        <v>No</v>
      </c>
      <c r="AH107" s="17"/>
      <c r="AI107" s="17"/>
      <c r="AJ107" s="18"/>
    </row>
    <row r="108" spans="2:36" ht="14">
      <c r="B108" s="15" t="s">
        <v>93</v>
      </c>
      <c r="C108" s="15"/>
      <c r="D108" s="13">
        <v>8.6999999999999993</v>
      </c>
      <c r="E108" s="14" t="s">
        <v>211</v>
      </c>
      <c r="F108" s="13"/>
      <c r="G108" s="13" t="s">
        <v>416</v>
      </c>
      <c r="H108" s="13" t="s">
        <v>513</v>
      </c>
      <c r="I108" s="14"/>
      <c r="J108" s="14"/>
      <c r="K108" s="14"/>
      <c r="L108" s="16"/>
      <c r="M108" s="24">
        <f>IFERROR(VLOOKUP(tblRiskRegister322[[#This Row],[Asset Class]],tblVCDBIndex[],4,FALSE),"")</f>
        <v>1</v>
      </c>
      <c r="N108" s="24" t="str">
        <f>IFERROR(VLOOKUP(10*tblRiskRegister322[[#This Row],[Safeguard Maturity Score]]+tblRiskRegister322[[#This Row],[VCDB Index]],tblHITIndexWeightTable[],4,FALSE),"")</f>
        <v/>
      </c>
      <c r="O108" s="24">
        <f>VLOOKUP(tblRiskRegister322[[#This Row],[Asset Class]],tblInherentImpacts3046[],2,FALSE)</f>
        <v>3</v>
      </c>
      <c r="P108" s="24">
        <f>VLOOKUP(tblRiskRegister322[[#This Row],[Asset Class]],tblInherentImpacts3046[],3,FALSE)</f>
        <v>4</v>
      </c>
      <c r="Q108" s="24">
        <f>VLOOKUP(tblRiskRegister322[[#This Row],[Asset Class]],tblInherentImpacts3046[],4,FALSE)</f>
        <v>3</v>
      </c>
      <c r="R108" s="24">
        <f>VLOOKUP(tblRiskRegister322[[#This Row],[Asset Class]],tblInherentImpacts3046[],5,FALSE)</f>
        <v>1</v>
      </c>
      <c r="S108" s="24" t="str">
        <f>IFERROR(MAX(tblRiskRegister322[[#This Row],[Impact to Mission]:[Impact to Obligations]])*tblRiskRegister322[[#This Row],[Expectancy Score]],"")</f>
        <v/>
      </c>
      <c r="T108" s="24" t="str">
        <f>tblRiskRegister322[[#This Row],[Risk Score]]</f>
        <v/>
      </c>
      <c r="U108" s="13"/>
      <c r="V108" s="50">
        <v>8.6999999999999993</v>
      </c>
      <c r="W108" s="15" t="s">
        <v>211</v>
      </c>
      <c r="X108" s="15" t="s">
        <v>343</v>
      </c>
      <c r="Y108" s="26"/>
      <c r="Z108" s="16"/>
      <c r="AA108" s="23" t="str">
        <f>IFERROR(VLOOKUP(10*tblRiskRegister322[[#This Row],[Risk Treatment Safeguard Maturity Score]]+tblRiskRegister322[[#This Row],[VCDB Index]],tblHITIndexWeightTable[],4,FALSE),"")</f>
        <v/>
      </c>
      <c r="AB108" s="65"/>
      <c r="AC108" s="65"/>
      <c r="AD108" s="65"/>
      <c r="AE108" s="65"/>
      <c r="AF108" s="23" t="str">
        <f>IFERROR(MAX(tblRiskRegister322[[#This Row],[Risk Treatment Safeguard Impact to Mission]:[Risk Treatment Safeguard Impact to Obligations]])*tblRiskRegister322[[#This Row],[Risk Treatment
Safeguard Expectancy Score]],"")</f>
        <v/>
      </c>
      <c r="AG108" s="23" t="str">
        <f>IF(tblRiskRegister322[[#This Row],[Risk Score]]&gt;AcceptableRisk1,IF(tblRiskRegister322[[#This Row],[Risk Treatment Safeguard Risk Score]]&lt;AcceptableRisk1, IF(tblRiskRegister322[[#This Row],[Risk Treatment Safeguard Risk Score]]&lt;=tblRiskRegister322[[#This Row],[Risk Score]],"Yes","No"),"No"),"Yes")</f>
        <v>No</v>
      </c>
      <c r="AH108" s="17"/>
      <c r="AI108" s="17"/>
      <c r="AJ108" s="18"/>
    </row>
    <row r="109" spans="2:36" ht="14">
      <c r="B109" s="15" t="s">
        <v>93</v>
      </c>
      <c r="C109" s="15"/>
      <c r="D109" s="13">
        <v>8.9</v>
      </c>
      <c r="E109" s="14" t="s">
        <v>212</v>
      </c>
      <c r="F109" s="13"/>
      <c r="G109" s="13" t="s">
        <v>416</v>
      </c>
      <c r="H109" s="13" t="s">
        <v>513</v>
      </c>
      <c r="I109" s="14"/>
      <c r="J109" s="14"/>
      <c r="K109" s="14"/>
      <c r="L109" s="16"/>
      <c r="M109" s="24">
        <f>IFERROR(VLOOKUP(tblRiskRegister322[[#This Row],[Asset Class]],tblVCDBIndex[],4,FALSE),"")</f>
        <v>1</v>
      </c>
      <c r="N109" s="24" t="str">
        <f>IFERROR(VLOOKUP(10*tblRiskRegister322[[#This Row],[Safeguard Maturity Score]]+tblRiskRegister322[[#This Row],[VCDB Index]],tblHITIndexWeightTable[],4,FALSE),"")</f>
        <v/>
      </c>
      <c r="O109" s="24">
        <f>VLOOKUP(tblRiskRegister322[[#This Row],[Asset Class]],tblInherentImpacts3046[],2,FALSE)</f>
        <v>3</v>
      </c>
      <c r="P109" s="24">
        <f>VLOOKUP(tblRiskRegister322[[#This Row],[Asset Class]],tblInherentImpacts3046[],3,FALSE)</f>
        <v>4</v>
      </c>
      <c r="Q109" s="24">
        <f>VLOOKUP(tblRiskRegister322[[#This Row],[Asset Class]],tblInherentImpacts3046[],4,FALSE)</f>
        <v>3</v>
      </c>
      <c r="R109" s="24">
        <f>VLOOKUP(tblRiskRegister322[[#This Row],[Asset Class]],tblInherentImpacts3046[],5,FALSE)</f>
        <v>1</v>
      </c>
      <c r="S109" s="24" t="str">
        <f>IFERROR(MAX(tblRiskRegister322[[#This Row],[Impact to Mission]:[Impact to Obligations]])*tblRiskRegister322[[#This Row],[Expectancy Score]],"")</f>
        <v/>
      </c>
      <c r="T109" s="24" t="str">
        <f>tblRiskRegister322[[#This Row],[Risk Score]]</f>
        <v/>
      </c>
      <c r="U109" s="13"/>
      <c r="V109" s="50">
        <v>8.9</v>
      </c>
      <c r="W109" s="15" t="s">
        <v>212</v>
      </c>
      <c r="X109" s="15" t="s">
        <v>345</v>
      </c>
      <c r="Y109" s="26"/>
      <c r="Z109" s="16"/>
      <c r="AA109" s="23" t="str">
        <f>IFERROR(VLOOKUP(10*tblRiskRegister322[[#This Row],[Risk Treatment Safeguard Maturity Score]]+tblRiskRegister322[[#This Row],[VCDB Index]],tblHITIndexWeightTable[],4,FALSE),"")</f>
        <v/>
      </c>
      <c r="AB109" s="65"/>
      <c r="AC109" s="65"/>
      <c r="AD109" s="65"/>
      <c r="AE109" s="65"/>
      <c r="AF109" s="23" t="str">
        <f>IFERROR(MAX(tblRiskRegister322[[#This Row],[Risk Treatment Safeguard Impact to Mission]:[Risk Treatment Safeguard Impact to Obligations]])*tblRiskRegister322[[#This Row],[Risk Treatment
Safeguard Expectancy Score]],"")</f>
        <v/>
      </c>
      <c r="AG109" s="23" t="str">
        <f>IF(tblRiskRegister322[[#This Row],[Risk Score]]&gt;AcceptableRisk1,IF(tblRiskRegister322[[#This Row],[Risk Treatment Safeguard Risk Score]]&lt;AcceptableRisk1, IF(tblRiskRegister322[[#This Row],[Risk Treatment Safeguard Risk Score]]&lt;=tblRiskRegister322[[#This Row],[Risk Score]],"Yes","No"),"No"),"Yes")</f>
        <v>No</v>
      </c>
      <c r="AH109" s="17"/>
      <c r="AI109" s="17"/>
      <c r="AJ109" s="18"/>
    </row>
    <row r="110" spans="2:36" ht="14">
      <c r="B110" s="15" t="s">
        <v>93</v>
      </c>
      <c r="C110" s="15"/>
      <c r="D110" s="58">
        <v>8.1</v>
      </c>
      <c r="E110" s="14" t="s">
        <v>213</v>
      </c>
      <c r="F110" s="13"/>
      <c r="G110" s="13" t="s">
        <v>416</v>
      </c>
      <c r="H110" s="13" t="s">
        <v>512</v>
      </c>
      <c r="I110" s="14"/>
      <c r="J110" s="14"/>
      <c r="K110" s="14"/>
      <c r="L110" s="16"/>
      <c r="M110" s="24">
        <f>IFERROR(VLOOKUP(tblRiskRegister322[[#This Row],[Asset Class]],tblVCDBIndex[],4,FALSE),"")</f>
        <v>1</v>
      </c>
      <c r="N110" s="24" t="str">
        <f>IFERROR(VLOOKUP(10*tblRiskRegister322[[#This Row],[Safeguard Maturity Score]]+tblRiskRegister322[[#This Row],[VCDB Index]],tblHITIndexWeightTable[],4,FALSE),"")</f>
        <v/>
      </c>
      <c r="O110" s="24">
        <f>VLOOKUP(tblRiskRegister322[[#This Row],[Asset Class]],tblInherentImpacts3046[],2,FALSE)</f>
        <v>3</v>
      </c>
      <c r="P110" s="24">
        <f>VLOOKUP(tblRiskRegister322[[#This Row],[Asset Class]],tblInherentImpacts3046[],3,FALSE)</f>
        <v>4</v>
      </c>
      <c r="Q110" s="24">
        <f>VLOOKUP(tblRiskRegister322[[#This Row],[Asset Class]],tblInherentImpacts3046[],4,FALSE)</f>
        <v>3</v>
      </c>
      <c r="R110" s="24">
        <f>VLOOKUP(tblRiskRegister322[[#This Row],[Asset Class]],tblInherentImpacts3046[],5,FALSE)</f>
        <v>1</v>
      </c>
      <c r="S110" s="24" t="str">
        <f>IFERROR(MAX(tblRiskRegister322[[#This Row],[Impact to Mission]:[Impact to Obligations]])*tblRiskRegister322[[#This Row],[Expectancy Score]],"")</f>
        <v/>
      </c>
      <c r="T110" s="24" t="str">
        <f>tblRiskRegister322[[#This Row],[Risk Score]]</f>
        <v/>
      </c>
      <c r="U110" s="13"/>
      <c r="V110" s="50">
        <v>8.1</v>
      </c>
      <c r="W110" s="15" t="s">
        <v>213</v>
      </c>
      <c r="X110" s="15" t="s">
        <v>346</v>
      </c>
      <c r="Y110" s="26"/>
      <c r="Z110" s="16"/>
      <c r="AA110" s="23" t="str">
        <f>IFERROR(VLOOKUP(10*tblRiskRegister322[[#This Row],[Risk Treatment Safeguard Maturity Score]]+tblRiskRegister322[[#This Row],[VCDB Index]],tblHITIndexWeightTable[],4,FALSE),"")</f>
        <v/>
      </c>
      <c r="AB110" s="65"/>
      <c r="AC110" s="65"/>
      <c r="AD110" s="65"/>
      <c r="AE110" s="65"/>
      <c r="AF110" s="23" t="str">
        <f>IFERROR(MAX(tblRiskRegister322[[#This Row],[Risk Treatment Safeguard Impact to Mission]:[Risk Treatment Safeguard Impact to Obligations]])*tblRiskRegister322[[#This Row],[Risk Treatment
Safeguard Expectancy Score]],"")</f>
        <v/>
      </c>
      <c r="AG110" s="23" t="str">
        <f>IF(tblRiskRegister322[[#This Row],[Risk Score]]&gt;AcceptableRisk1,IF(tblRiskRegister322[[#This Row],[Risk Treatment Safeguard Risk Score]]&lt;AcceptableRisk1, IF(tblRiskRegister322[[#This Row],[Risk Treatment Safeguard Risk Score]]&lt;=tblRiskRegister322[[#This Row],[Risk Score]],"Yes","No"),"No"),"Yes")</f>
        <v>No</v>
      </c>
      <c r="AH110" s="17"/>
      <c r="AI110" s="17"/>
      <c r="AJ110" s="18"/>
    </row>
    <row r="111" spans="2:36" ht="28">
      <c r="B111" s="15" t="s">
        <v>93</v>
      </c>
      <c r="C111" s="15"/>
      <c r="D111" s="13">
        <v>8.11</v>
      </c>
      <c r="E111" s="14" t="s">
        <v>214</v>
      </c>
      <c r="F111" s="13"/>
      <c r="G111" s="13" t="s">
        <v>416</v>
      </c>
      <c r="H111" s="13" t="s">
        <v>513</v>
      </c>
      <c r="I111" s="14"/>
      <c r="J111" s="14"/>
      <c r="K111" s="14"/>
      <c r="L111" s="16"/>
      <c r="M111" s="24">
        <f>IFERROR(VLOOKUP(tblRiskRegister322[[#This Row],[Asset Class]],tblVCDBIndex[],4,FALSE),"")</f>
        <v>1</v>
      </c>
      <c r="N111" s="24" t="str">
        <f>IFERROR(VLOOKUP(10*tblRiskRegister322[[#This Row],[Safeguard Maturity Score]]+tblRiskRegister322[[#This Row],[VCDB Index]],tblHITIndexWeightTable[],4,FALSE),"")</f>
        <v/>
      </c>
      <c r="O111" s="24">
        <f>VLOOKUP(tblRiskRegister322[[#This Row],[Asset Class]],tblInherentImpacts3046[],2,FALSE)</f>
        <v>3</v>
      </c>
      <c r="P111" s="24">
        <f>VLOOKUP(tblRiskRegister322[[#This Row],[Asset Class]],tblInherentImpacts3046[],3,FALSE)</f>
        <v>4</v>
      </c>
      <c r="Q111" s="24">
        <f>VLOOKUP(tblRiskRegister322[[#This Row],[Asset Class]],tblInherentImpacts3046[],4,FALSE)</f>
        <v>3</v>
      </c>
      <c r="R111" s="24">
        <f>VLOOKUP(tblRiskRegister322[[#This Row],[Asset Class]],tblInherentImpacts3046[],5,FALSE)</f>
        <v>1</v>
      </c>
      <c r="S111" s="24" t="str">
        <f>IFERROR(MAX(tblRiskRegister322[[#This Row],[Impact to Mission]:[Impact to Obligations]])*tblRiskRegister322[[#This Row],[Expectancy Score]],"")</f>
        <v/>
      </c>
      <c r="T111" s="24" t="str">
        <f>tblRiskRegister322[[#This Row],[Risk Score]]</f>
        <v/>
      </c>
      <c r="U111" s="13"/>
      <c r="V111" s="50">
        <v>8.11</v>
      </c>
      <c r="W111" s="15" t="s">
        <v>214</v>
      </c>
      <c r="X111" s="15" t="s">
        <v>347</v>
      </c>
      <c r="Y111" s="26"/>
      <c r="Z111" s="16"/>
      <c r="AA111" s="23" t="str">
        <f>IFERROR(VLOOKUP(10*tblRiskRegister322[[#This Row],[Risk Treatment Safeguard Maturity Score]]+tblRiskRegister322[[#This Row],[VCDB Index]],tblHITIndexWeightTable[],4,FALSE),"")</f>
        <v/>
      </c>
      <c r="AB111" s="65"/>
      <c r="AC111" s="65"/>
      <c r="AD111" s="65"/>
      <c r="AE111" s="65"/>
      <c r="AF111" s="23" t="str">
        <f>IFERROR(MAX(tblRiskRegister322[[#This Row],[Risk Treatment Safeguard Impact to Mission]:[Risk Treatment Safeguard Impact to Obligations]])*tblRiskRegister322[[#This Row],[Risk Treatment
Safeguard Expectancy Score]],"")</f>
        <v/>
      </c>
      <c r="AG111" s="23" t="str">
        <f>IF(tblRiskRegister322[[#This Row],[Risk Score]]&gt;AcceptableRisk1,IF(tblRiskRegister322[[#This Row],[Risk Treatment Safeguard Risk Score]]&lt;AcceptableRisk1, IF(tblRiskRegister322[[#This Row],[Risk Treatment Safeguard Risk Score]]&lt;=tblRiskRegister322[[#This Row],[Risk Score]],"Yes","No"),"No"),"Yes")</f>
        <v>No</v>
      </c>
      <c r="AH111" s="17"/>
      <c r="AI111" s="17"/>
      <c r="AJ111" s="18"/>
    </row>
    <row r="112" spans="2:36" ht="14">
      <c r="B112" s="15" t="s">
        <v>93</v>
      </c>
      <c r="C112" s="15"/>
      <c r="D112" s="13">
        <v>9.1999999999999993</v>
      </c>
      <c r="E112" s="14" t="s">
        <v>69</v>
      </c>
      <c r="F112" s="13" t="s">
        <v>416</v>
      </c>
      <c r="G112" s="13" t="s">
        <v>416</v>
      </c>
      <c r="H112" s="13" t="s">
        <v>512</v>
      </c>
      <c r="I112" s="14"/>
      <c r="J112" s="14"/>
      <c r="K112" s="14"/>
      <c r="L112" s="16"/>
      <c r="M112" s="24">
        <f>IFERROR(VLOOKUP(tblRiskRegister322[[#This Row],[Asset Class]],tblVCDBIndex[],4,FALSE),"")</f>
        <v>1</v>
      </c>
      <c r="N112" s="24" t="str">
        <f>IFERROR(VLOOKUP(10*tblRiskRegister322[[#This Row],[Safeguard Maturity Score]]+tblRiskRegister322[[#This Row],[VCDB Index]],tblHITIndexWeightTable[],4,FALSE),"")</f>
        <v/>
      </c>
      <c r="O112" s="24">
        <f>VLOOKUP(tblRiskRegister322[[#This Row],[Asset Class]],tblInherentImpacts3046[],2,FALSE)</f>
        <v>3</v>
      </c>
      <c r="P112" s="24">
        <f>VLOOKUP(tblRiskRegister322[[#This Row],[Asset Class]],tblInherentImpacts3046[],3,FALSE)</f>
        <v>4</v>
      </c>
      <c r="Q112" s="24">
        <f>VLOOKUP(tblRiskRegister322[[#This Row],[Asset Class]],tblInherentImpacts3046[],4,FALSE)</f>
        <v>3</v>
      </c>
      <c r="R112" s="24">
        <f>VLOOKUP(tblRiskRegister322[[#This Row],[Asset Class]],tblInherentImpacts3046[],5,FALSE)</f>
        <v>1</v>
      </c>
      <c r="S112" s="24" t="str">
        <f>IFERROR(MAX(tblRiskRegister322[[#This Row],[Impact to Mission]:[Impact to Obligations]])*tblRiskRegister322[[#This Row],[Expectancy Score]],"")</f>
        <v/>
      </c>
      <c r="T112" s="24" t="str">
        <f>tblRiskRegister322[[#This Row],[Risk Score]]</f>
        <v/>
      </c>
      <c r="U112" s="13"/>
      <c r="V112" s="50">
        <v>9.1999999999999993</v>
      </c>
      <c r="W112" s="15" t="s">
        <v>69</v>
      </c>
      <c r="X112" s="15" t="s">
        <v>349</v>
      </c>
      <c r="Y112" s="26"/>
      <c r="Z112" s="16"/>
      <c r="AA112" s="23" t="str">
        <f>IFERROR(VLOOKUP(10*tblRiskRegister322[[#This Row],[Risk Treatment Safeguard Maturity Score]]+tblRiskRegister322[[#This Row],[VCDB Index]],tblHITIndexWeightTable[],4,FALSE),"")</f>
        <v/>
      </c>
      <c r="AB112" s="65"/>
      <c r="AC112" s="65"/>
      <c r="AD112" s="65"/>
      <c r="AE112" s="65"/>
      <c r="AF112" s="23" t="str">
        <f>IFERROR(MAX(tblRiskRegister322[[#This Row],[Risk Treatment Safeguard Impact to Mission]:[Risk Treatment Safeguard Impact to Obligations]])*tblRiskRegister322[[#This Row],[Risk Treatment
Safeguard Expectancy Score]],"")</f>
        <v/>
      </c>
      <c r="AG112" s="23" t="str">
        <f>IF(tblRiskRegister322[[#This Row],[Risk Score]]&gt;AcceptableRisk1,IF(tblRiskRegister322[[#This Row],[Risk Treatment Safeguard Risk Score]]&lt;AcceptableRisk1, IF(tblRiskRegister322[[#This Row],[Risk Treatment Safeguard Risk Score]]&lt;=tblRiskRegister322[[#This Row],[Risk Score]],"Yes","No"),"No"),"Yes")</f>
        <v>No</v>
      </c>
      <c r="AH112" s="17"/>
      <c r="AI112" s="17"/>
      <c r="AJ112" s="18"/>
    </row>
    <row r="113" spans="2:36" ht="56">
      <c r="B113" s="15" t="s">
        <v>93</v>
      </c>
      <c r="C113" s="15"/>
      <c r="D113" s="13">
        <v>9.3000000000000007</v>
      </c>
      <c r="E113" s="14" t="s">
        <v>215</v>
      </c>
      <c r="F113" s="13"/>
      <c r="G113" s="13" t="s">
        <v>416</v>
      </c>
      <c r="H113" s="13" t="s">
        <v>512</v>
      </c>
      <c r="I113" s="14"/>
      <c r="J113" s="14"/>
      <c r="K113" s="14"/>
      <c r="L113" s="16"/>
      <c r="M113" s="24">
        <f>IFERROR(VLOOKUP(tblRiskRegister322[[#This Row],[Asset Class]],tblVCDBIndex[],4,FALSE),"")</f>
        <v>1</v>
      </c>
      <c r="N113" s="24" t="str">
        <f>IFERROR(VLOOKUP(10*tblRiskRegister322[[#This Row],[Safeguard Maturity Score]]+tblRiskRegister322[[#This Row],[VCDB Index]],tblHITIndexWeightTable[],4,FALSE),"")</f>
        <v/>
      </c>
      <c r="O113" s="24">
        <f>VLOOKUP(tblRiskRegister322[[#This Row],[Asset Class]],tblInherentImpacts3046[],2,FALSE)</f>
        <v>3</v>
      </c>
      <c r="P113" s="24">
        <f>VLOOKUP(tblRiskRegister322[[#This Row],[Asset Class]],tblInherentImpacts3046[],3,FALSE)</f>
        <v>4</v>
      </c>
      <c r="Q113" s="24">
        <f>VLOOKUP(tblRiskRegister322[[#This Row],[Asset Class]],tblInherentImpacts3046[],4,FALSE)</f>
        <v>3</v>
      </c>
      <c r="R113" s="24">
        <f>VLOOKUP(tblRiskRegister322[[#This Row],[Asset Class]],tblInherentImpacts3046[],5,FALSE)</f>
        <v>1</v>
      </c>
      <c r="S113" s="24" t="str">
        <f>IFERROR(MAX(tblRiskRegister322[[#This Row],[Impact to Mission]:[Impact to Obligations]])*tblRiskRegister322[[#This Row],[Expectancy Score]],"")</f>
        <v/>
      </c>
      <c r="T113" s="24" t="str">
        <f>tblRiskRegister322[[#This Row],[Risk Score]]</f>
        <v/>
      </c>
      <c r="U113" s="13"/>
      <c r="V113" s="50">
        <v>9.3000000000000007</v>
      </c>
      <c r="W113" s="15" t="s">
        <v>215</v>
      </c>
      <c r="X113" s="15" t="s">
        <v>350</v>
      </c>
      <c r="Y113" s="26"/>
      <c r="Z113" s="16"/>
      <c r="AA113" s="23" t="str">
        <f>IFERROR(VLOOKUP(10*tblRiskRegister322[[#This Row],[Risk Treatment Safeguard Maturity Score]]+tblRiskRegister322[[#This Row],[VCDB Index]],tblHITIndexWeightTable[],4,FALSE),"")</f>
        <v/>
      </c>
      <c r="AB113" s="65"/>
      <c r="AC113" s="65"/>
      <c r="AD113" s="65"/>
      <c r="AE113" s="65"/>
      <c r="AF113" s="23" t="str">
        <f>IFERROR(MAX(tblRiskRegister322[[#This Row],[Risk Treatment Safeguard Impact to Mission]:[Risk Treatment Safeguard Impact to Obligations]])*tblRiskRegister322[[#This Row],[Risk Treatment
Safeguard Expectancy Score]],"")</f>
        <v/>
      </c>
      <c r="AG113" s="23" t="str">
        <f>IF(tblRiskRegister322[[#This Row],[Risk Score]]&gt;AcceptableRisk1,IF(tblRiskRegister322[[#This Row],[Risk Treatment Safeguard Risk Score]]&lt;AcceptableRisk1, IF(tblRiskRegister322[[#This Row],[Risk Treatment Safeguard Risk Score]]&lt;=tblRiskRegister322[[#This Row],[Risk Score]],"Yes","No"),"No"),"Yes")</f>
        <v>No</v>
      </c>
      <c r="AH113" s="17"/>
      <c r="AI113" s="17"/>
      <c r="AJ113" s="18"/>
    </row>
    <row r="114" spans="2:36" ht="42">
      <c r="B114" s="15" t="s">
        <v>93</v>
      </c>
      <c r="C114" s="15"/>
      <c r="D114" s="13">
        <v>9.5</v>
      </c>
      <c r="E114" s="14" t="s">
        <v>216</v>
      </c>
      <c r="F114" s="13"/>
      <c r="G114" s="13" t="s">
        <v>416</v>
      </c>
      <c r="H114" s="13" t="s">
        <v>512</v>
      </c>
      <c r="I114" s="14"/>
      <c r="J114" s="14"/>
      <c r="K114" s="14"/>
      <c r="L114" s="16"/>
      <c r="M114" s="24">
        <f>IFERROR(VLOOKUP(tblRiskRegister322[[#This Row],[Asset Class]],tblVCDBIndex[],4,FALSE),"")</f>
        <v>1</v>
      </c>
      <c r="N114" s="24" t="str">
        <f>IFERROR(VLOOKUP(10*tblRiskRegister322[[#This Row],[Safeguard Maturity Score]]+tblRiskRegister322[[#This Row],[VCDB Index]],tblHITIndexWeightTable[],4,FALSE),"")</f>
        <v/>
      </c>
      <c r="O114" s="24">
        <f>VLOOKUP(tblRiskRegister322[[#This Row],[Asset Class]],tblInherentImpacts3046[],2,FALSE)</f>
        <v>3</v>
      </c>
      <c r="P114" s="24">
        <f>VLOOKUP(tblRiskRegister322[[#This Row],[Asset Class]],tblInherentImpacts3046[],3,FALSE)</f>
        <v>4</v>
      </c>
      <c r="Q114" s="24">
        <f>VLOOKUP(tblRiskRegister322[[#This Row],[Asset Class]],tblInherentImpacts3046[],4,FALSE)</f>
        <v>3</v>
      </c>
      <c r="R114" s="24">
        <f>VLOOKUP(tblRiskRegister322[[#This Row],[Asset Class]],tblInherentImpacts3046[],5,FALSE)</f>
        <v>1</v>
      </c>
      <c r="S114" s="24" t="str">
        <f>IFERROR(MAX(tblRiskRegister322[[#This Row],[Impact to Mission]:[Impact to Obligations]])*tblRiskRegister322[[#This Row],[Expectancy Score]],"")</f>
        <v/>
      </c>
      <c r="T114" s="24" t="str">
        <f>tblRiskRegister322[[#This Row],[Risk Score]]</f>
        <v/>
      </c>
      <c r="U114" s="13"/>
      <c r="V114" s="50">
        <v>9.5</v>
      </c>
      <c r="W114" s="15" t="s">
        <v>216</v>
      </c>
      <c r="X114" s="15" t="s">
        <v>352</v>
      </c>
      <c r="Y114" s="26"/>
      <c r="Z114" s="16"/>
      <c r="AA114" s="23" t="str">
        <f>IFERROR(VLOOKUP(10*tblRiskRegister322[[#This Row],[Risk Treatment Safeguard Maturity Score]]+tblRiskRegister322[[#This Row],[VCDB Index]],tblHITIndexWeightTable[],4,FALSE),"")</f>
        <v/>
      </c>
      <c r="AB114" s="65"/>
      <c r="AC114" s="65"/>
      <c r="AD114" s="65"/>
      <c r="AE114" s="65"/>
      <c r="AF114" s="23" t="str">
        <f>IFERROR(MAX(tblRiskRegister322[[#This Row],[Risk Treatment Safeguard Impact to Mission]:[Risk Treatment Safeguard Impact to Obligations]])*tblRiskRegister322[[#This Row],[Risk Treatment
Safeguard Expectancy Score]],"")</f>
        <v/>
      </c>
      <c r="AG114" s="23" t="str">
        <f>IF(tblRiskRegister322[[#This Row],[Risk Score]]&gt;AcceptableRisk1,IF(tblRiskRegister322[[#This Row],[Risk Treatment Safeguard Risk Score]]&lt;AcceptableRisk1, IF(tblRiskRegister322[[#This Row],[Risk Treatment Safeguard Risk Score]]&lt;=tblRiskRegister322[[#This Row],[Risk Score]],"Yes","No"),"No"),"Yes")</f>
        <v>No</v>
      </c>
      <c r="AH114" s="17"/>
      <c r="AI114" s="17"/>
      <c r="AJ114" s="18"/>
    </row>
    <row r="115" spans="2:36" ht="14">
      <c r="B115" s="15" t="s">
        <v>93</v>
      </c>
      <c r="C115" s="15"/>
      <c r="D115" s="13">
        <v>9.6</v>
      </c>
      <c r="E115" s="14" t="s">
        <v>217</v>
      </c>
      <c r="F115" s="13"/>
      <c r="G115" s="13" t="s">
        <v>416</v>
      </c>
      <c r="H115" s="13" t="s">
        <v>512</v>
      </c>
      <c r="I115" s="14"/>
      <c r="J115" s="14"/>
      <c r="K115" s="14"/>
      <c r="L115" s="16"/>
      <c r="M115" s="24">
        <f>IFERROR(VLOOKUP(tblRiskRegister322[[#This Row],[Asset Class]],tblVCDBIndex[],4,FALSE),"")</f>
        <v>1</v>
      </c>
      <c r="N115" s="24" t="str">
        <f>IFERROR(VLOOKUP(10*tblRiskRegister322[[#This Row],[Safeguard Maturity Score]]+tblRiskRegister322[[#This Row],[VCDB Index]],tblHITIndexWeightTable[],4,FALSE),"")</f>
        <v/>
      </c>
      <c r="O115" s="24">
        <f>VLOOKUP(tblRiskRegister322[[#This Row],[Asset Class]],tblInherentImpacts3046[],2,FALSE)</f>
        <v>3</v>
      </c>
      <c r="P115" s="24">
        <f>VLOOKUP(tblRiskRegister322[[#This Row],[Asset Class]],tblInherentImpacts3046[],3,FALSE)</f>
        <v>4</v>
      </c>
      <c r="Q115" s="24">
        <f>VLOOKUP(tblRiskRegister322[[#This Row],[Asset Class]],tblInherentImpacts3046[],4,FALSE)</f>
        <v>3</v>
      </c>
      <c r="R115" s="24">
        <f>VLOOKUP(tblRiskRegister322[[#This Row],[Asset Class]],tblInherentImpacts3046[],5,FALSE)</f>
        <v>1</v>
      </c>
      <c r="S115" s="24" t="str">
        <f>IFERROR(MAX(tblRiskRegister322[[#This Row],[Impact to Mission]:[Impact to Obligations]])*tblRiskRegister322[[#This Row],[Expectancy Score]],"")</f>
        <v/>
      </c>
      <c r="T115" s="24" t="str">
        <f>tblRiskRegister322[[#This Row],[Risk Score]]</f>
        <v/>
      </c>
      <c r="U115" s="13"/>
      <c r="V115" s="50">
        <v>9.6</v>
      </c>
      <c r="W115" s="15" t="s">
        <v>217</v>
      </c>
      <c r="X115" s="15" t="s">
        <v>353</v>
      </c>
      <c r="Y115" s="26"/>
      <c r="Z115" s="16"/>
      <c r="AA115" s="23" t="str">
        <f>IFERROR(VLOOKUP(10*tblRiskRegister322[[#This Row],[Risk Treatment Safeguard Maturity Score]]+tblRiskRegister322[[#This Row],[VCDB Index]],tblHITIndexWeightTable[],4,FALSE),"")</f>
        <v/>
      </c>
      <c r="AB115" s="65"/>
      <c r="AC115" s="65"/>
      <c r="AD115" s="65"/>
      <c r="AE115" s="65"/>
      <c r="AF115" s="23" t="str">
        <f>IFERROR(MAX(tblRiskRegister322[[#This Row],[Risk Treatment Safeguard Impact to Mission]:[Risk Treatment Safeguard Impact to Obligations]])*tblRiskRegister322[[#This Row],[Risk Treatment
Safeguard Expectancy Score]],"")</f>
        <v/>
      </c>
      <c r="AG115" s="23" t="str">
        <f>IF(tblRiskRegister322[[#This Row],[Risk Score]]&gt;AcceptableRisk1,IF(tblRiskRegister322[[#This Row],[Risk Treatment Safeguard Risk Score]]&lt;AcceptableRisk1, IF(tblRiskRegister322[[#This Row],[Risk Treatment Safeguard Risk Score]]&lt;=tblRiskRegister322[[#This Row],[Risk Score]],"Yes","No"),"No"),"Yes")</f>
        <v>No</v>
      </c>
      <c r="AH115" s="17"/>
      <c r="AI115" s="17"/>
      <c r="AJ115" s="18"/>
    </row>
    <row r="116" spans="2:36" ht="42">
      <c r="B116" s="15" t="s">
        <v>93</v>
      </c>
      <c r="C116" s="15"/>
      <c r="D116" s="13">
        <v>12.1</v>
      </c>
      <c r="E116" s="14" t="s">
        <v>77</v>
      </c>
      <c r="F116" s="13" t="s">
        <v>416</v>
      </c>
      <c r="G116" s="13" t="s">
        <v>416</v>
      </c>
      <c r="H116" s="13" t="s">
        <v>512</v>
      </c>
      <c r="I116" s="14"/>
      <c r="J116" s="14"/>
      <c r="K116" s="14"/>
      <c r="L116" s="16"/>
      <c r="M116" s="24">
        <f>IFERROR(VLOOKUP(tblRiskRegister322[[#This Row],[Asset Class]],tblVCDBIndex[],4,FALSE),"")</f>
        <v>1</v>
      </c>
      <c r="N116" s="24" t="str">
        <f>IFERROR(VLOOKUP(10*tblRiskRegister322[[#This Row],[Safeguard Maturity Score]]+tblRiskRegister322[[#This Row],[VCDB Index]],tblHITIndexWeightTable[],4,FALSE),"")</f>
        <v/>
      </c>
      <c r="O116" s="24">
        <f>VLOOKUP(tblRiskRegister322[[#This Row],[Asset Class]],tblInherentImpacts3046[],2,FALSE)</f>
        <v>3</v>
      </c>
      <c r="P116" s="24">
        <f>VLOOKUP(tblRiskRegister322[[#This Row],[Asset Class]],tblInherentImpacts3046[],3,FALSE)</f>
        <v>4</v>
      </c>
      <c r="Q116" s="24">
        <f>VLOOKUP(tblRiskRegister322[[#This Row],[Asset Class]],tblInherentImpacts3046[],4,FALSE)</f>
        <v>3</v>
      </c>
      <c r="R116" s="24">
        <f>VLOOKUP(tblRiskRegister322[[#This Row],[Asset Class]],tblInherentImpacts3046[],5,FALSE)</f>
        <v>1</v>
      </c>
      <c r="S116" s="24" t="str">
        <f>IFERROR(MAX(tblRiskRegister322[[#This Row],[Impact to Mission]:[Impact to Obligations]])*tblRiskRegister322[[#This Row],[Expectancy Score]],"")</f>
        <v/>
      </c>
      <c r="T116" s="24" t="str">
        <f>tblRiskRegister322[[#This Row],[Risk Score]]</f>
        <v/>
      </c>
      <c r="U116" s="13"/>
      <c r="V116" s="50">
        <v>12.1</v>
      </c>
      <c r="W116" s="15" t="s">
        <v>77</v>
      </c>
      <c r="X116" s="15" t="s">
        <v>366</v>
      </c>
      <c r="Y116" s="26"/>
      <c r="Z116" s="16"/>
      <c r="AA116" s="23" t="str">
        <f>IFERROR(VLOOKUP(10*tblRiskRegister322[[#This Row],[Risk Treatment Safeguard Maturity Score]]+tblRiskRegister322[[#This Row],[VCDB Index]],tblHITIndexWeightTable[],4,FALSE),"")</f>
        <v/>
      </c>
      <c r="AB116" s="65"/>
      <c r="AC116" s="65"/>
      <c r="AD116" s="65"/>
      <c r="AE116" s="65"/>
      <c r="AF116" s="23" t="str">
        <f>IFERROR(MAX(tblRiskRegister322[[#This Row],[Risk Treatment Safeguard Impact to Mission]:[Risk Treatment Safeguard Impact to Obligations]])*tblRiskRegister322[[#This Row],[Risk Treatment
Safeguard Expectancy Score]],"")</f>
        <v/>
      </c>
      <c r="AG116" s="23" t="str">
        <f>IF(tblRiskRegister322[[#This Row],[Risk Score]]&gt;AcceptableRisk1,IF(tblRiskRegister322[[#This Row],[Risk Treatment Safeguard Risk Score]]&lt;AcceptableRisk1, IF(tblRiskRegister322[[#This Row],[Risk Treatment Safeguard Risk Score]]&lt;=tblRiskRegister322[[#This Row],[Risk Score]],"Yes","No"),"No"),"Yes")</f>
        <v>No</v>
      </c>
      <c r="AH116" s="17"/>
      <c r="AI116" s="17"/>
      <c r="AJ116" s="18"/>
    </row>
    <row r="117" spans="2:36" ht="28">
      <c r="B117" s="15" t="s">
        <v>93</v>
      </c>
      <c r="C117" s="15"/>
      <c r="D117" s="13">
        <v>12.2</v>
      </c>
      <c r="E117" s="14" t="s">
        <v>218</v>
      </c>
      <c r="F117" s="13"/>
      <c r="G117" s="13" t="s">
        <v>416</v>
      </c>
      <c r="H117" s="13" t="s">
        <v>512</v>
      </c>
      <c r="I117" s="14"/>
      <c r="J117" s="14"/>
      <c r="K117" s="14"/>
      <c r="L117" s="16"/>
      <c r="M117" s="24">
        <f>IFERROR(VLOOKUP(tblRiskRegister322[[#This Row],[Asset Class]],tblVCDBIndex[],4,FALSE),"")</f>
        <v>1</v>
      </c>
      <c r="N117" s="24" t="str">
        <f>IFERROR(VLOOKUP(10*tblRiskRegister322[[#This Row],[Safeguard Maturity Score]]+tblRiskRegister322[[#This Row],[VCDB Index]],tblHITIndexWeightTable[],4,FALSE),"")</f>
        <v/>
      </c>
      <c r="O117" s="24">
        <f>VLOOKUP(tblRiskRegister322[[#This Row],[Asset Class]],tblInherentImpacts3046[],2,FALSE)</f>
        <v>3</v>
      </c>
      <c r="P117" s="24">
        <f>VLOOKUP(tblRiskRegister322[[#This Row],[Asset Class]],tblInherentImpacts3046[],3,FALSE)</f>
        <v>4</v>
      </c>
      <c r="Q117" s="24">
        <f>VLOOKUP(tblRiskRegister322[[#This Row],[Asset Class]],tblInherentImpacts3046[],4,FALSE)</f>
        <v>3</v>
      </c>
      <c r="R117" s="24">
        <f>VLOOKUP(tblRiskRegister322[[#This Row],[Asset Class]],tblInherentImpacts3046[],5,FALSE)</f>
        <v>1</v>
      </c>
      <c r="S117" s="24" t="str">
        <f>IFERROR(MAX(tblRiskRegister322[[#This Row],[Impact to Mission]:[Impact to Obligations]])*tblRiskRegister322[[#This Row],[Expectancy Score]],"")</f>
        <v/>
      </c>
      <c r="T117" s="24" t="str">
        <f>tblRiskRegister322[[#This Row],[Risk Score]]</f>
        <v/>
      </c>
      <c r="U117" s="13"/>
      <c r="V117" s="50">
        <v>12.2</v>
      </c>
      <c r="W117" s="15" t="s">
        <v>218</v>
      </c>
      <c r="X117" s="15" t="s">
        <v>367</v>
      </c>
      <c r="Y117" s="26"/>
      <c r="Z117" s="16"/>
      <c r="AA117" s="23" t="str">
        <f>IFERROR(VLOOKUP(10*tblRiskRegister322[[#This Row],[Risk Treatment Safeguard Maturity Score]]+tblRiskRegister322[[#This Row],[VCDB Index]],tblHITIndexWeightTable[],4,FALSE),"")</f>
        <v/>
      </c>
      <c r="AB117" s="65"/>
      <c r="AC117" s="65"/>
      <c r="AD117" s="65"/>
      <c r="AE117" s="65"/>
      <c r="AF117" s="23" t="str">
        <f>IFERROR(MAX(tblRiskRegister322[[#This Row],[Risk Treatment Safeguard Impact to Mission]:[Risk Treatment Safeguard Impact to Obligations]])*tblRiskRegister322[[#This Row],[Risk Treatment
Safeguard Expectancy Score]],"")</f>
        <v/>
      </c>
      <c r="AG117" s="23" t="str">
        <f>IF(tblRiskRegister322[[#This Row],[Risk Score]]&gt;AcceptableRisk1,IF(tblRiskRegister322[[#This Row],[Risk Treatment Safeguard Risk Score]]&lt;AcceptableRisk1, IF(tblRiskRegister322[[#This Row],[Risk Treatment Safeguard Risk Score]]&lt;=tblRiskRegister322[[#This Row],[Risk Score]],"Yes","No"),"No"),"Yes")</f>
        <v>No</v>
      </c>
      <c r="AH117" s="17"/>
      <c r="AI117" s="17"/>
      <c r="AJ117" s="18"/>
    </row>
    <row r="118" spans="2:36" ht="28">
      <c r="B118" s="15" t="s">
        <v>93</v>
      </c>
      <c r="C118" s="15"/>
      <c r="D118" s="13">
        <v>12.3</v>
      </c>
      <c r="E118" s="14" t="s">
        <v>219</v>
      </c>
      <c r="F118" s="13"/>
      <c r="G118" s="13" t="s">
        <v>416</v>
      </c>
      <c r="H118" s="13" t="s">
        <v>512</v>
      </c>
      <c r="I118" s="14"/>
      <c r="J118" s="14"/>
      <c r="K118" s="14"/>
      <c r="L118" s="16"/>
      <c r="M118" s="24">
        <f>IFERROR(VLOOKUP(tblRiskRegister322[[#This Row],[Asset Class]],tblVCDBIndex[],4,FALSE),"")</f>
        <v>1</v>
      </c>
      <c r="N118" s="24" t="str">
        <f>IFERROR(VLOOKUP(10*tblRiskRegister322[[#This Row],[Safeguard Maturity Score]]+tblRiskRegister322[[#This Row],[VCDB Index]],tblHITIndexWeightTable[],4,FALSE),"")</f>
        <v/>
      </c>
      <c r="O118" s="24">
        <f>VLOOKUP(tblRiskRegister322[[#This Row],[Asset Class]],tblInherentImpacts3046[],2,FALSE)</f>
        <v>3</v>
      </c>
      <c r="P118" s="24">
        <f>VLOOKUP(tblRiskRegister322[[#This Row],[Asset Class]],tblInherentImpacts3046[],3,FALSE)</f>
        <v>4</v>
      </c>
      <c r="Q118" s="24">
        <f>VLOOKUP(tblRiskRegister322[[#This Row],[Asset Class]],tblInherentImpacts3046[],4,FALSE)</f>
        <v>3</v>
      </c>
      <c r="R118" s="24">
        <f>VLOOKUP(tblRiskRegister322[[#This Row],[Asset Class]],tblInherentImpacts3046[],5,FALSE)</f>
        <v>1</v>
      </c>
      <c r="S118" s="24" t="str">
        <f>IFERROR(MAX(tblRiskRegister322[[#This Row],[Impact to Mission]:[Impact to Obligations]])*tblRiskRegister322[[#This Row],[Expectancy Score]],"")</f>
        <v/>
      </c>
      <c r="T118" s="24" t="str">
        <f>tblRiskRegister322[[#This Row],[Risk Score]]</f>
        <v/>
      </c>
      <c r="U118" s="13"/>
      <c r="V118" s="50">
        <v>12.3</v>
      </c>
      <c r="W118" s="15" t="s">
        <v>219</v>
      </c>
      <c r="X118" s="15" t="s">
        <v>368</v>
      </c>
      <c r="Y118" s="26"/>
      <c r="Z118" s="16"/>
      <c r="AA118" s="23" t="str">
        <f>IFERROR(VLOOKUP(10*tblRiskRegister322[[#This Row],[Risk Treatment Safeguard Maturity Score]]+tblRiskRegister322[[#This Row],[VCDB Index]],tblHITIndexWeightTable[],4,FALSE),"")</f>
        <v/>
      </c>
      <c r="AB118" s="65"/>
      <c r="AC118" s="65"/>
      <c r="AD118" s="65"/>
      <c r="AE118" s="65"/>
      <c r="AF118" s="23" t="str">
        <f>IFERROR(MAX(tblRiskRegister322[[#This Row],[Risk Treatment Safeguard Impact to Mission]:[Risk Treatment Safeguard Impact to Obligations]])*tblRiskRegister322[[#This Row],[Risk Treatment
Safeguard Expectancy Score]],"")</f>
        <v/>
      </c>
      <c r="AG118" s="23" t="str">
        <f>IF(tblRiskRegister322[[#This Row],[Risk Score]]&gt;AcceptableRisk1,IF(tblRiskRegister322[[#This Row],[Risk Treatment Safeguard Risk Score]]&lt;AcceptableRisk1, IF(tblRiskRegister322[[#This Row],[Risk Treatment Safeguard Risk Score]]&lt;=tblRiskRegister322[[#This Row],[Risk Score]],"Yes","No"),"No"),"Yes")</f>
        <v>No</v>
      </c>
      <c r="AH118" s="17"/>
      <c r="AI118" s="17"/>
      <c r="AJ118" s="18"/>
    </row>
    <row r="119" spans="2:36" ht="42">
      <c r="B119" s="15" t="s">
        <v>93</v>
      </c>
      <c r="C119" s="15"/>
      <c r="D119" s="13">
        <v>12.4</v>
      </c>
      <c r="E119" s="14" t="s">
        <v>220</v>
      </c>
      <c r="F119" s="13"/>
      <c r="G119" s="13" t="s">
        <v>416</v>
      </c>
      <c r="H119" s="13" t="s">
        <v>510</v>
      </c>
      <c r="I119" s="14"/>
      <c r="J119" s="14"/>
      <c r="K119" s="14"/>
      <c r="L119" s="16"/>
      <c r="M119" s="24">
        <f>IFERROR(VLOOKUP(tblRiskRegister322[[#This Row],[Asset Class]],tblVCDBIndex[],4,FALSE),"")</f>
        <v>1</v>
      </c>
      <c r="N119" s="24" t="str">
        <f>IFERROR(VLOOKUP(10*tblRiskRegister322[[#This Row],[Safeguard Maturity Score]]+tblRiskRegister322[[#This Row],[VCDB Index]],tblHITIndexWeightTable[],4,FALSE),"")</f>
        <v/>
      </c>
      <c r="O119" s="24">
        <f>VLOOKUP(tblRiskRegister322[[#This Row],[Asset Class]],tblInherentImpacts3046[],2,FALSE)</f>
        <v>3</v>
      </c>
      <c r="P119" s="24">
        <f>VLOOKUP(tblRiskRegister322[[#This Row],[Asset Class]],tblInherentImpacts3046[],3,FALSE)</f>
        <v>4</v>
      </c>
      <c r="Q119" s="24">
        <f>VLOOKUP(tblRiskRegister322[[#This Row],[Asset Class]],tblInherentImpacts3046[],4,FALSE)</f>
        <v>3</v>
      </c>
      <c r="R119" s="24">
        <f>VLOOKUP(tblRiskRegister322[[#This Row],[Asset Class]],tblInherentImpacts3046[],5,FALSE)</f>
        <v>1</v>
      </c>
      <c r="S119" s="24" t="str">
        <f>IFERROR(MAX(tblRiskRegister322[[#This Row],[Impact to Mission]:[Impact to Obligations]])*tblRiskRegister322[[#This Row],[Expectancy Score]],"")</f>
        <v/>
      </c>
      <c r="T119" s="24" t="str">
        <f>tblRiskRegister322[[#This Row],[Risk Score]]</f>
        <v/>
      </c>
      <c r="U119" s="13"/>
      <c r="V119" s="50">
        <v>12.4</v>
      </c>
      <c r="W119" s="15" t="s">
        <v>220</v>
      </c>
      <c r="X119" s="15" t="s">
        <v>369</v>
      </c>
      <c r="Y119" s="26"/>
      <c r="Z119" s="16"/>
      <c r="AA119" s="23" t="str">
        <f>IFERROR(VLOOKUP(10*tblRiskRegister322[[#This Row],[Risk Treatment Safeguard Maturity Score]]+tblRiskRegister322[[#This Row],[VCDB Index]],tblHITIndexWeightTable[],4,FALSE),"")</f>
        <v/>
      </c>
      <c r="AB119" s="65"/>
      <c r="AC119" s="65"/>
      <c r="AD119" s="65"/>
      <c r="AE119" s="65"/>
      <c r="AF119" s="23" t="str">
        <f>IFERROR(MAX(tblRiskRegister322[[#This Row],[Risk Treatment Safeguard Impact to Mission]:[Risk Treatment Safeguard Impact to Obligations]])*tblRiskRegister322[[#This Row],[Risk Treatment
Safeguard Expectancy Score]],"")</f>
        <v/>
      </c>
      <c r="AG119" s="23" t="str">
        <f>IF(tblRiskRegister322[[#This Row],[Risk Score]]&gt;AcceptableRisk1,IF(tblRiskRegister322[[#This Row],[Risk Treatment Safeguard Risk Score]]&lt;AcceptableRisk1, IF(tblRiskRegister322[[#This Row],[Risk Treatment Safeguard Risk Score]]&lt;=tblRiskRegister322[[#This Row],[Risk Score]],"Yes","No"),"No"),"Yes")</f>
        <v>No</v>
      </c>
      <c r="AH119" s="17"/>
      <c r="AI119" s="17"/>
      <c r="AJ119" s="18"/>
    </row>
    <row r="120" spans="2:36" ht="28">
      <c r="B120" s="15" t="s">
        <v>93</v>
      </c>
      <c r="C120" s="15"/>
      <c r="D120" s="13">
        <v>12.5</v>
      </c>
      <c r="E120" s="14" t="s">
        <v>221</v>
      </c>
      <c r="F120" s="13"/>
      <c r="G120" s="13" t="s">
        <v>416</v>
      </c>
      <c r="H120" s="13" t="s">
        <v>512</v>
      </c>
      <c r="I120" s="14"/>
      <c r="J120" s="14"/>
      <c r="K120" s="14"/>
      <c r="L120" s="16"/>
      <c r="M120" s="24">
        <f>IFERROR(VLOOKUP(tblRiskRegister322[[#This Row],[Asset Class]],tblVCDBIndex[],4,FALSE),"")</f>
        <v>1</v>
      </c>
      <c r="N120" s="24" t="str">
        <f>IFERROR(VLOOKUP(10*tblRiskRegister322[[#This Row],[Safeguard Maturity Score]]+tblRiskRegister322[[#This Row],[VCDB Index]],tblHITIndexWeightTable[],4,FALSE),"")</f>
        <v/>
      </c>
      <c r="O120" s="24">
        <f>VLOOKUP(tblRiskRegister322[[#This Row],[Asset Class]],tblInherentImpacts3046[],2,FALSE)</f>
        <v>3</v>
      </c>
      <c r="P120" s="24">
        <f>VLOOKUP(tblRiskRegister322[[#This Row],[Asset Class]],tblInherentImpacts3046[],3,FALSE)</f>
        <v>4</v>
      </c>
      <c r="Q120" s="24">
        <f>VLOOKUP(tblRiskRegister322[[#This Row],[Asset Class]],tblInherentImpacts3046[],4,FALSE)</f>
        <v>3</v>
      </c>
      <c r="R120" s="24">
        <f>VLOOKUP(tblRiskRegister322[[#This Row],[Asset Class]],tblInherentImpacts3046[],5,FALSE)</f>
        <v>1</v>
      </c>
      <c r="S120" s="24" t="str">
        <f>IFERROR(MAX(tblRiskRegister322[[#This Row],[Impact to Mission]:[Impact to Obligations]])*tblRiskRegister322[[#This Row],[Expectancy Score]],"")</f>
        <v/>
      </c>
      <c r="T120" s="24" t="str">
        <f>tblRiskRegister322[[#This Row],[Risk Score]]</f>
        <v/>
      </c>
      <c r="U120" s="13"/>
      <c r="V120" s="50">
        <v>12.5</v>
      </c>
      <c r="W120" s="15" t="s">
        <v>221</v>
      </c>
      <c r="X120" s="15" t="s">
        <v>370</v>
      </c>
      <c r="Y120" s="26"/>
      <c r="Z120" s="16"/>
      <c r="AA120" s="23" t="str">
        <f>IFERROR(VLOOKUP(10*tblRiskRegister322[[#This Row],[Risk Treatment Safeguard Maturity Score]]+tblRiskRegister322[[#This Row],[VCDB Index]],tblHITIndexWeightTable[],4,FALSE),"")</f>
        <v/>
      </c>
      <c r="AB120" s="65"/>
      <c r="AC120" s="65"/>
      <c r="AD120" s="65"/>
      <c r="AE120" s="65"/>
      <c r="AF120" s="23" t="str">
        <f>IFERROR(MAX(tblRiskRegister322[[#This Row],[Risk Treatment Safeguard Impact to Mission]:[Risk Treatment Safeguard Impact to Obligations]])*tblRiskRegister322[[#This Row],[Risk Treatment
Safeguard Expectancy Score]],"")</f>
        <v/>
      </c>
      <c r="AG120" s="23" t="str">
        <f>IF(tblRiskRegister322[[#This Row],[Risk Score]]&gt;AcceptableRisk1,IF(tblRiskRegister322[[#This Row],[Risk Treatment Safeguard Risk Score]]&lt;AcceptableRisk1, IF(tblRiskRegister322[[#This Row],[Risk Treatment Safeguard Risk Score]]&lt;=tblRiskRegister322[[#This Row],[Risk Score]],"Yes","No"),"No"),"Yes")</f>
        <v>No</v>
      </c>
      <c r="AH120" s="17"/>
      <c r="AI120" s="17"/>
      <c r="AJ120" s="18"/>
    </row>
    <row r="121" spans="2:36" ht="28">
      <c r="B121" s="15" t="s">
        <v>93</v>
      </c>
      <c r="C121" s="15"/>
      <c r="D121" s="13">
        <v>12.6</v>
      </c>
      <c r="E121" s="14" t="s">
        <v>222</v>
      </c>
      <c r="F121" s="13"/>
      <c r="G121" s="13" t="s">
        <v>416</v>
      </c>
      <c r="H121" s="13" t="s">
        <v>512</v>
      </c>
      <c r="I121" s="14"/>
      <c r="J121" s="14"/>
      <c r="K121" s="14"/>
      <c r="L121" s="16"/>
      <c r="M121" s="24">
        <f>IFERROR(VLOOKUP(tblRiskRegister322[[#This Row],[Asset Class]],tblVCDBIndex[],4,FALSE),"")</f>
        <v>1</v>
      </c>
      <c r="N121" s="24" t="str">
        <f>IFERROR(VLOOKUP(10*tblRiskRegister322[[#This Row],[Safeguard Maturity Score]]+tblRiskRegister322[[#This Row],[VCDB Index]],tblHITIndexWeightTable[],4,FALSE),"")</f>
        <v/>
      </c>
      <c r="O121" s="24">
        <f>VLOOKUP(tblRiskRegister322[[#This Row],[Asset Class]],tblInherentImpacts3046[],2,FALSE)</f>
        <v>3</v>
      </c>
      <c r="P121" s="24">
        <f>VLOOKUP(tblRiskRegister322[[#This Row],[Asset Class]],tblInherentImpacts3046[],3,FALSE)</f>
        <v>4</v>
      </c>
      <c r="Q121" s="24">
        <f>VLOOKUP(tblRiskRegister322[[#This Row],[Asset Class]],tblInherentImpacts3046[],4,FALSE)</f>
        <v>3</v>
      </c>
      <c r="R121" s="24">
        <f>VLOOKUP(tblRiskRegister322[[#This Row],[Asset Class]],tblInherentImpacts3046[],5,FALSE)</f>
        <v>1</v>
      </c>
      <c r="S121" s="24" t="str">
        <f>IFERROR(MAX(tblRiskRegister322[[#This Row],[Impact to Mission]:[Impact to Obligations]])*tblRiskRegister322[[#This Row],[Expectancy Score]],"")</f>
        <v/>
      </c>
      <c r="T121" s="24" t="str">
        <f>tblRiskRegister322[[#This Row],[Risk Score]]</f>
        <v/>
      </c>
      <c r="U121" s="13"/>
      <c r="V121" s="50">
        <v>12.6</v>
      </c>
      <c r="W121" s="15" t="s">
        <v>222</v>
      </c>
      <c r="X121" s="15" t="s">
        <v>371</v>
      </c>
      <c r="Y121" s="26"/>
      <c r="Z121" s="16"/>
      <c r="AA121" s="23" t="str">
        <f>IFERROR(VLOOKUP(10*tblRiskRegister322[[#This Row],[Risk Treatment Safeguard Maturity Score]]+tblRiskRegister322[[#This Row],[VCDB Index]],tblHITIndexWeightTable[],4,FALSE),"")</f>
        <v/>
      </c>
      <c r="AB121" s="65"/>
      <c r="AC121" s="65"/>
      <c r="AD121" s="65"/>
      <c r="AE121" s="65"/>
      <c r="AF121" s="23" t="str">
        <f>IFERROR(MAX(tblRiskRegister322[[#This Row],[Risk Treatment Safeguard Impact to Mission]:[Risk Treatment Safeguard Impact to Obligations]])*tblRiskRegister322[[#This Row],[Risk Treatment
Safeguard Expectancy Score]],"")</f>
        <v/>
      </c>
      <c r="AG121" s="23" t="str">
        <f>IF(tblRiskRegister322[[#This Row],[Risk Score]]&gt;AcceptableRisk1,IF(tblRiskRegister322[[#This Row],[Risk Treatment Safeguard Risk Score]]&lt;AcceptableRisk1, IF(tblRiskRegister322[[#This Row],[Risk Treatment Safeguard Risk Score]]&lt;=tblRiskRegister322[[#This Row],[Risk Score]],"Yes","No"),"No"),"Yes")</f>
        <v>No</v>
      </c>
      <c r="AH121" s="17"/>
      <c r="AI121" s="17"/>
      <c r="AJ121" s="18"/>
    </row>
    <row r="122" spans="2:36" ht="56">
      <c r="B122" s="15" t="s">
        <v>93</v>
      </c>
      <c r="C122" s="15"/>
      <c r="D122" s="13">
        <v>13.1</v>
      </c>
      <c r="E122" s="14" t="s">
        <v>223</v>
      </c>
      <c r="F122" s="13"/>
      <c r="G122" s="13" t="s">
        <v>416</v>
      </c>
      <c r="H122" s="13" t="s">
        <v>513</v>
      </c>
      <c r="I122" s="14"/>
      <c r="J122" s="14"/>
      <c r="K122" s="14"/>
      <c r="L122" s="16"/>
      <c r="M122" s="24">
        <f>IFERROR(VLOOKUP(tblRiskRegister322[[#This Row],[Asset Class]],tblVCDBIndex[],4,FALSE),"")</f>
        <v>1</v>
      </c>
      <c r="N122" s="24" t="str">
        <f>IFERROR(VLOOKUP(10*tblRiskRegister322[[#This Row],[Safeguard Maturity Score]]+tblRiskRegister322[[#This Row],[VCDB Index]],tblHITIndexWeightTable[],4,FALSE),"")</f>
        <v/>
      </c>
      <c r="O122" s="24">
        <f>VLOOKUP(tblRiskRegister322[[#This Row],[Asset Class]],tblInherentImpacts3046[],2,FALSE)</f>
        <v>3</v>
      </c>
      <c r="P122" s="24">
        <f>VLOOKUP(tblRiskRegister322[[#This Row],[Asset Class]],tblInherentImpacts3046[],3,FALSE)</f>
        <v>4</v>
      </c>
      <c r="Q122" s="24">
        <f>VLOOKUP(tblRiskRegister322[[#This Row],[Asset Class]],tblInherentImpacts3046[],4,FALSE)</f>
        <v>3</v>
      </c>
      <c r="R122" s="24">
        <f>VLOOKUP(tblRiskRegister322[[#This Row],[Asset Class]],tblInherentImpacts3046[],5,FALSE)</f>
        <v>1</v>
      </c>
      <c r="S122" s="24" t="str">
        <f>IFERROR(MAX(tblRiskRegister322[[#This Row],[Impact to Mission]:[Impact to Obligations]])*tblRiskRegister322[[#This Row],[Expectancy Score]],"")</f>
        <v/>
      </c>
      <c r="T122" s="24" t="str">
        <f>tblRiskRegister322[[#This Row],[Risk Score]]</f>
        <v/>
      </c>
      <c r="U122" s="13"/>
      <c r="V122" s="50">
        <v>13.1</v>
      </c>
      <c r="W122" s="15" t="s">
        <v>223</v>
      </c>
      <c r="X122" s="15" t="s">
        <v>373</v>
      </c>
      <c r="Y122" s="26"/>
      <c r="Z122" s="16"/>
      <c r="AA122" s="23" t="str">
        <f>IFERROR(VLOOKUP(10*tblRiskRegister322[[#This Row],[Risk Treatment Safeguard Maturity Score]]+tblRiskRegister322[[#This Row],[VCDB Index]],tblHITIndexWeightTable[],4,FALSE),"")</f>
        <v/>
      </c>
      <c r="AB122" s="65"/>
      <c r="AC122" s="65"/>
      <c r="AD122" s="65"/>
      <c r="AE122" s="65"/>
      <c r="AF122" s="23" t="str">
        <f>IFERROR(MAX(tblRiskRegister322[[#This Row],[Risk Treatment Safeguard Impact to Mission]:[Risk Treatment Safeguard Impact to Obligations]])*tblRiskRegister322[[#This Row],[Risk Treatment
Safeguard Expectancy Score]],"")</f>
        <v/>
      </c>
      <c r="AG122" s="23" t="str">
        <f>IF(tblRiskRegister322[[#This Row],[Risk Score]]&gt;AcceptableRisk1,IF(tblRiskRegister322[[#This Row],[Risk Treatment Safeguard Risk Score]]&lt;AcceptableRisk1, IF(tblRiskRegister322[[#This Row],[Risk Treatment Safeguard Risk Score]]&lt;=tblRiskRegister322[[#This Row],[Risk Score]],"Yes","No"),"No"),"Yes")</f>
        <v>No</v>
      </c>
      <c r="AH122" s="17"/>
      <c r="AI122" s="17"/>
      <c r="AJ122" s="18"/>
    </row>
    <row r="123" spans="2:36" ht="42">
      <c r="B123" s="15" t="s">
        <v>93</v>
      </c>
      <c r="C123" s="15"/>
      <c r="D123" s="13">
        <v>13.3</v>
      </c>
      <c r="E123" s="14" t="s">
        <v>224</v>
      </c>
      <c r="F123" s="13"/>
      <c r="G123" s="13" t="s">
        <v>416</v>
      </c>
      <c r="H123" s="13" t="s">
        <v>513</v>
      </c>
      <c r="I123" s="14"/>
      <c r="J123" s="14"/>
      <c r="K123" s="14"/>
      <c r="L123" s="16"/>
      <c r="M123" s="24">
        <f>IFERROR(VLOOKUP(tblRiskRegister322[[#This Row],[Asset Class]],tblVCDBIndex[],4,FALSE),"")</f>
        <v>1</v>
      </c>
      <c r="N123" s="24" t="str">
        <f>IFERROR(VLOOKUP(10*tblRiskRegister322[[#This Row],[Safeguard Maturity Score]]+tblRiskRegister322[[#This Row],[VCDB Index]],tblHITIndexWeightTable[],4,FALSE),"")</f>
        <v/>
      </c>
      <c r="O123" s="24">
        <f>VLOOKUP(tblRiskRegister322[[#This Row],[Asset Class]],tblInherentImpacts3046[],2,FALSE)</f>
        <v>3</v>
      </c>
      <c r="P123" s="24">
        <f>VLOOKUP(tblRiskRegister322[[#This Row],[Asset Class]],tblInherentImpacts3046[],3,FALSE)</f>
        <v>4</v>
      </c>
      <c r="Q123" s="24">
        <f>VLOOKUP(tblRiskRegister322[[#This Row],[Asset Class]],tblInherentImpacts3046[],4,FALSE)</f>
        <v>3</v>
      </c>
      <c r="R123" s="24">
        <f>VLOOKUP(tblRiskRegister322[[#This Row],[Asset Class]],tblInherentImpacts3046[],5,FALSE)</f>
        <v>1</v>
      </c>
      <c r="S123" s="24" t="str">
        <f>IFERROR(MAX(tblRiskRegister322[[#This Row],[Impact to Mission]:[Impact to Obligations]])*tblRiskRegister322[[#This Row],[Expectancy Score]],"")</f>
        <v/>
      </c>
      <c r="T123" s="24" t="str">
        <f>tblRiskRegister322[[#This Row],[Risk Score]]</f>
        <v/>
      </c>
      <c r="U123" s="13"/>
      <c r="V123" s="50">
        <v>13.3</v>
      </c>
      <c r="W123" s="15" t="s">
        <v>224</v>
      </c>
      <c r="X123" s="15" t="s">
        <v>375</v>
      </c>
      <c r="Y123" s="26"/>
      <c r="Z123" s="16"/>
      <c r="AA123" s="23" t="str">
        <f>IFERROR(VLOOKUP(10*tblRiskRegister322[[#This Row],[Risk Treatment Safeguard Maturity Score]]+tblRiskRegister322[[#This Row],[VCDB Index]],tblHITIndexWeightTable[],4,FALSE),"")</f>
        <v/>
      </c>
      <c r="AB123" s="65"/>
      <c r="AC123" s="65"/>
      <c r="AD123" s="65"/>
      <c r="AE123" s="65"/>
      <c r="AF123" s="23" t="str">
        <f>IFERROR(MAX(tblRiskRegister322[[#This Row],[Risk Treatment Safeguard Impact to Mission]:[Risk Treatment Safeguard Impact to Obligations]])*tblRiskRegister322[[#This Row],[Risk Treatment
Safeguard Expectancy Score]],"")</f>
        <v/>
      </c>
      <c r="AG123" s="23" t="str">
        <f>IF(tblRiskRegister322[[#This Row],[Risk Score]]&gt;AcceptableRisk1,IF(tblRiskRegister322[[#This Row],[Risk Treatment Safeguard Risk Score]]&lt;AcceptableRisk1, IF(tblRiskRegister322[[#This Row],[Risk Treatment Safeguard Risk Score]]&lt;=tblRiskRegister322[[#This Row],[Risk Score]],"Yes","No"),"No"),"Yes")</f>
        <v>No</v>
      </c>
      <c r="AH123" s="17"/>
      <c r="AI123" s="17"/>
      <c r="AJ123" s="18"/>
    </row>
    <row r="124" spans="2:36" ht="28">
      <c r="B124" s="15" t="s">
        <v>93</v>
      </c>
      <c r="C124" s="15"/>
      <c r="D124" s="13">
        <v>13.4</v>
      </c>
      <c r="E124" s="14" t="s">
        <v>225</v>
      </c>
      <c r="F124" s="13"/>
      <c r="G124" s="13" t="s">
        <v>416</v>
      </c>
      <c r="H124" s="13" t="s">
        <v>512</v>
      </c>
      <c r="I124" s="14"/>
      <c r="J124" s="14"/>
      <c r="K124" s="14"/>
      <c r="L124" s="16"/>
      <c r="M124" s="24">
        <f>IFERROR(VLOOKUP(tblRiskRegister322[[#This Row],[Asset Class]],tblVCDBIndex[],4,FALSE),"")</f>
        <v>1</v>
      </c>
      <c r="N124" s="24" t="str">
        <f>IFERROR(VLOOKUP(10*tblRiskRegister322[[#This Row],[Safeguard Maturity Score]]+tblRiskRegister322[[#This Row],[VCDB Index]],tblHITIndexWeightTable[],4,FALSE),"")</f>
        <v/>
      </c>
      <c r="O124" s="24">
        <f>VLOOKUP(tblRiskRegister322[[#This Row],[Asset Class]],tblInherentImpacts3046[],2,FALSE)</f>
        <v>3</v>
      </c>
      <c r="P124" s="24">
        <f>VLOOKUP(tblRiskRegister322[[#This Row],[Asset Class]],tblInherentImpacts3046[],3,FALSE)</f>
        <v>4</v>
      </c>
      <c r="Q124" s="24">
        <f>VLOOKUP(tblRiskRegister322[[#This Row],[Asset Class]],tblInherentImpacts3046[],4,FALSE)</f>
        <v>3</v>
      </c>
      <c r="R124" s="24">
        <f>VLOOKUP(tblRiskRegister322[[#This Row],[Asset Class]],tblInherentImpacts3046[],5,FALSE)</f>
        <v>1</v>
      </c>
      <c r="S124" s="24" t="str">
        <f>IFERROR(MAX(tblRiskRegister322[[#This Row],[Impact to Mission]:[Impact to Obligations]])*tblRiskRegister322[[#This Row],[Expectancy Score]],"")</f>
        <v/>
      </c>
      <c r="T124" s="24" t="str">
        <f>tblRiskRegister322[[#This Row],[Risk Score]]</f>
        <v/>
      </c>
      <c r="U124" s="13"/>
      <c r="V124" s="50">
        <v>13.4</v>
      </c>
      <c r="W124" s="15" t="s">
        <v>225</v>
      </c>
      <c r="X124" s="15" t="s">
        <v>376</v>
      </c>
      <c r="Y124" s="26"/>
      <c r="Z124" s="16"/>
      <c r="AA124" s="23" t="str">
        <f>IFERROR(VLOOKUP(10*tblRiskRegister322[[#This Row],[Risk Treatment Safeguard Maturity Score]]+tblRiskRegister322[[#This Row],[VCDB Index]],tblHITIndexWeightTable[],4,FALSE),"")</f>
        <v/>
      </c>
      <c r="AB124" s="65"/>
      <c r="AC124" s="65"/>
      <c r="AD124" s="65"/>
      <c r="AE124" s="65"/>
      <c r="AF124" s="23" t="str">
        <f>IFERROR(MAX(tblRiskRegister322[[#This Row],[Risk Treatment Safeguard Impact to Mission]:[Risk Treatment Safeguard Impact to Obligations]])*tblRiskRegister322[[#This Row],[Risk Treatment
Safeguard Expectancy Score]],"")</f>
        <v/>
      </c>
      <c r="AG124" s="23" t="str">
        <f>IF(tblRiskRegister322[[#This Row],[Risk Score]]&gt;AcceptableRisk1,IF(tblRiskRegister322[[#This Row],[Risk Treatment Safeguard Risk Score]]&lt;AcceptableRisk1, IF(tblRiskRegister322[[#This Row],[Risk Treatment Safeguard Risk Score]]&lt;=tblRiskRegister322[[#This Row],[Risk Score]],"Yes","No"),"No"),"Yes")</f>
        <v>No</v>
      </c>
      <c r="AH124" s="17"/>
      <c r="AI124" s="17"/>
      <c r="AJ124" s="18"/>
    </row>
    <row r="125" spans="2:36" ht="28">
      <c r="B125" s="15" t="s">
        <v>93</v>
      </c>
      <c r="C125" s="15"/>
      <c r="D125" s="13">
        <v>13.6</v>
      </c>
      <c r="E125" s="14" t="s">
        <v>226</v>
      </c>
      <c r="F125" s="13"/>
      <c r="G125" s="13" t="s">
        <v>416</v>
      </c>
      <c r="H125" s="13" t="s">
        <v>513</v>
      </c>
      <c r="I125" s="14"/>
      <c r="J125" s="14"/>
      <c r="K125" s="14"/>
      <c r="L125" s="16"/>
      <c r="M125" s="24">
        <f>IFERROR(VLOOKUP(tblRiskRegister322[[#This Row],[Asset Class]],tblVCDBIndex[],4,FALSE),"")</f>
        <v>1</v>
      </c>
      <c r="N125" s="24" t="str">
        <f>IFERROR(VLOOKUP(10*tblRiskRegister322[[#This Row],[Safeguard Maturity Score]]+tblRiskRegister322[[#This Row],[VCDB Index]],tblHITIndexWeightTable[],4,FALSE),"")</f>
        <v/>
      </c>
      <c r="O125" s="24">
        <f>VLOOKUP(tblRiskRegister322[[#This Row],[Asset Class]],tblInherentImpacts3046[],2,FALSE)</f>
        <v>3</v>
      </c>
      <c r="P125" s="24">
        <f>VLOOKUP(tblRiskRegister322[[#This Row],[Asset Class]],tblInherentImpacts3046[],3,FALSE)</f>
        <v>4</v>
      </c>
      <c r="Q125" s="24">
        <f>VLOOKUP(tblRiskRegister322[[#This Row],[Asset Class]],tblInherentImpacts3046[],4,FALSE)</f>
        <v>3</v>
      </c>
      <c r="R125" s="24">
        <f>VLOOKUP(tblRiskRegister322[[#This Row],[Asset Class]],tblInherentImpacts3046[],5,FALSE)</f>
        <v>1</v>
      </c>
      <c r="S125" s="24" t="str">
        <f>IFERROR(MAX(tblRiskRegister322[[#This Row],[Impact to Mission]:[Impact to Obligations]])*tblRiskRegister322[[#This Row],[Expectancy Score]],"")</f>
        <v/>
      </c>
      <c r="T125" s="24" t="str">
        <f>tblRiskRegister322[[#This Row],[Risk Score]]</f>
        <v/>
      </c>
      <c r="U125" s="13"/>
      <c r="V125" s="50">
        <v>13.6</v>
      </c>
      <c r="W125" s="15" t="s">
        <v>226</v>
      </c>
      <c r="X125" s="15" t="s">
        <v>378</v>
      </c>
      <c r="Y125" s="26"/>
      <c r="Z125" s="16"/>
      <c r="AA125" s="23" t="str">
        <f>IFERROR(VLOOKUP(10*tblRiskRegister322[[#This Row],[Risk Treatment Safeguard Maturity Score]]+tblRiskRegister322[[#This Row],[VCDB Index]],tblHITIndexWeightTable[],4,FALSE),"")</f>
        <v/>
      </c>
      <c r="AB125" s="65"/>
      <c r="AC125" s="65"/>
      <c r="AD125" s="65"/>
      <c r="AE125" s="65"/>
      <c r="AF125" s="23" t="str">
        <f>IFERROR(MAX(tblRiskRegister322[[#This Row],[Risk Treatment Safeguard Impact to Mission]:[Risk Treatment Safeguard Impact to Obligations]])*tblRiskRegister322[[#This Row],[Risk Treatment
Safeguard Expectancy Score]],"")</f>
        <v/>
      </c>
      <c r="AG125" s="23" t="str">
        <f>IF(tblRiskRegister322[[#This Row],[Risk Score]]&gt;AcceptableRisk1,IF(tblRiskRegister322[[#This Row],[Risk Treatment Safeguard Risk Score]]&lt;AcceptableRisk1, IF(tblRiskRegister322[[#This Row],[Risk Treatment Safeguard Risk Score]]&lt;=tblRiskRegister322[[#This Row],[Risk Score]],"Yes","No"),"No"),"Yes")</f>
        <v>No</v>
      </c>
      <c r="AH125" s="17"/>
      <c r="AI125" s="17"/>
      <c r="AJ125" s="18"/>
    </row>
    <row r="126" spans="2:36" ht="70">
      <c r="B126" s="15" t="s">
        <v>93</v>
      </c>
      <c r="C126" s="15"/>
      <c r="D126" s="13">
        <v>18.2</v>
      </c>
      <c r="E126" s="14" t="s">
        <v>227</v>
      </c>
      <c r="F126" s="13"/>
      <c r="G126" s="13" t="s">
        <v>416</v>
      </c>
      <c r="H126" s="13" t="s">
        <v>510</v>
      </c>
      <c r="I126" s="14"/>
      <c r="J126" s="14"/>
      <c r="K126" s="14"/>
      <c r="L126" s="16"/>
      <c r="M126" s="24">
        <f>IFERROR(VLOOKUP(tblRiskRegister322[[#This Row],[Asset Class]],tblVCDBIndex[],4,FALSE),"")</f>
        <v>1</v>
      </c>
      <c r="N126" s="24" t="str">
        <f>IFERROR(VLOOKUP(10*tblRiskRegister322[[#This Row],[Safeguard Maturity Score]]+tblRiskRegister322[[#This Row],[VCDB Index]],tblHITIndexWeightTable[],4,FALSE),"")</f>
        <v/>
      </c>
      <c r="O126" s="24">
        <f>VLOOKUP(tblRiskRegister322[[#This Row],[Asset Class]],tblInherentImpacts3046[],2,FALSE)</f>
        <v>3</v>
      </c>
      <c r="P126" s="24">
        <f>VLOOKUP(tblRiskRegister322[[#This Row],[Asset Class]],tblInherentImpacts3046[],3,FALSE)</f>
        <v>4</v>
      </c>
      <c r="Q126" s="24">
        <f>VLOOKUP(tblRiskRegister322[[#This Row],[Asset Class]],tblInherentImpacts3046[],4,FALSE)</f>
        <v>3</v>
      </c>
      <c r="R126" s="24">
        <f>VLOOKUP(tblRiskRegister322[[#This Row],[Asset Class]],tblInherentImpacts3046[],5,FALSE)</f>
        <v>1</v>
      </c>
      <c r="S126" s="24" t="str">
        <f>IFERROR(MAX(tblRiskRegister322[[#This Row],[Impact to Mission]:[Impact to Obligations]])*tblRiskRegister322[[#This Row],[Expectancy Score]],"")</f>
        <v/>
      </c>
      <c r="T126" s="24" t="str">
        <f>tblRiskRegister322[[#This Row],[Risk Score]]</f>
        <v/>
      </c>
      <c r="U126" s="13"/>
      <c r="V126" s="50">
        <v>18.2</v>
      </c>
      <c r="W126" s="15" t="s">
        <v>227</v>
      </c>
      <c r="X126" s="15" t="s">
        <v>412</v>
      </c>
      <c r="Y126" s="26"/>
      <c r="Z126" s="16"/>
      <c r="AA126" s="23" t="str">
        <f>IFERROR(VLOOKUP(10*tblRiskRegister322[[#This Row],[Risk Treatment Safeguard Maturity Score]]+tblRiskRegister322[[#This Row],[VCDB Index]],tblHITIndexWeightTable[],4,FALSE),"")</f>
        <v/>
      </c>
      <c r="AB126" s="65"/>
      <c r="AC126" s="65"/>
      <c r="AD126" s="65"/>
      <c r="AE126" s="65"/>
      <c r="AF126" s="23" t="str">
        <f>IFERROR(MAX(tblRiskRegister322[[#This Row],[Risk Treatment Safeguard Impact to Mission]:[Risk Treatment Safeguard Impact to Obligations]])*tblRiskRegister322[[#This Row],[Risk Treatment
Safeguard Expectancy Score]],"")</f>
        <v/>
      </c>
      <c r="AG126" s="23" t="str">
        <f>IF(tblRiskRegister322[[#This Row],[Risk Score]]&gt;AcceptableRisk1,IF(tblRiskRegister322[[#This Row],[Risk Treatment Safeguard Risk Score]]&lt;AcceptableRisk1, IF(tblRiskRegister322[[#This Row],[Risk Treatment Safeguard Risk Score]]&lt;=tblRiskRegister322[[#This Row],[Risk Score]],"Yes","No"),"No"),"Yes")</f>
        <v>No</v>
      </c>
      <c r="AH126" s="17"/>
      <c r="AI126" s="17"/>
      <c r="AJ126" s="18"/>
    </row>
    <row r="127" spans="2:36" ht="28">
      <c r="B127" s="15" t="s">
        <v>93</v>
      </c>
      <c r="C127" s="15"/>
      <c r="D127" s="13">
        <v>18.3</v>
      </c>
      <c r="E127" s="14" t="s">
        <v>228</v>
      </c>
      <c r="F127" s="13"/>
      <c r="G127" s="13" t="s">
        <v>416</v>
      </c>
      <c r="H127" s="13" t="s">
        <v>512</v>
      </c>
      <c r="I127" s="14"/>
      <c r="J127" s="14"/>
      <c r="K127" s="14"/>
      <c r="L127" s="16"/>
      <c r="M127" s="24">
        <f>IFERROR(VLOOKUP(tblRiskRegister322[[#This Row],[Asset Class]],tblVCDBIndex[],4,FALSE),"")</f>
        <v>1</v>
      </c>
      <c r="N127" s="24" t="str">
        <f>IFERROR(VLOOKUP(10*tblRiskRegister322[[#This Row],[Safeguard Maturity Score]]+tblRiskRegister322[[#This Row],[VCDB Index]],tblHITIndexWeightTable[],4,FALSE),"")</f>
        <v/>
      </c>
      <c r="O127" s="24">
        <f>VLOOKUP(tblRiskRegister322[[#This Row],[Asset Class]],tblInherentImpacts3046[],2,FALSE)</f>
        <v>3</v>
      </c>
      <c r="P127" s="24">
        <f>VLOOKUP(tblRiskRegister322[[#This Row],[Asset Class]],tblInherentImpacts3046[],3,FALSE)</f>
        <v>4</v>
      </c>
      <c r="Q127" s="24">
        <f>VLOOKUP(tblRiskRegister322[[#This Row],[Asset Class]],tblInherentImpacts3046[],4,FALSE)</f>
        <v>3</v>
      </c>
      <c r="R127" s="24">
        <f>VLOOKUP(tblRiskRegister322[[#This Row],[Asset Class]],tblInherentImpacts3046[],5,FALSE)</f>
        <v>1</v>
      </c>
      <c r="S127" s="24" t="str">
        <f>IFERROR(MAX(tblRiskRegister322[[#This Row],[Impact to Mission]:[Impact to Obligations]])*tblRiskRegister322[[#This Row],[Expectancy Score]],"")</f>
        <v/>
      </c>
      <c r="T127" s="24" t="str">
        <f>tblRiskRegister322[[#This Row],[Risk Score]]</f>
        <v/>
      </c>
      <c r="U127" s="13"/>
      <c r="V127" s="50">
        <v>18.3</v>
      </c>
      <c r="W127" s="15" t="s">
        <v>228</v>
      </c>
      <c r="X127" s="15" t="s">
        <v>413</v>
      </c>
      <c r="Y127" s="26"/>
      <c r="Z127" s="16"/>
      <c r="AA127" s="23" t="str">
        <f>IFERROR(VLOOKUP(10*tblRiskRegister322[[#This Row],[Risk Treatment Safeguard Maturity Score]]+tblRiskRegister322[[#This Row],[VCDB Index]],tblHITIndexWeightTable[],4,FALSE),"")</f>
        <v/>
      </c>
      <c r="AB127" s="65"/>
      <c r="AC127" s="65"/>
      <c r="AD127" s="65"/>
      <c r="AE127" s="65"/>
      <c r="AF127" s="23" t="str">
        <f>IFERROR(MAX(tblRiskRegister322[[#This Row],[Risk Treatment Safeguard Impact to Mission]:[Risk Treatment Safeguard Impact to Obligations]])*tblRiskRegister322[[#This Row],[Risk Treatment
Safeguard Expectancy Score]],"")</f>
        <v/>
      </c>
      <c r="AG127" s="23" t="str">
        <f>IF(tblRiskRegister322[[#This Row],[Risk Score]]&gt;AcceptableRisk1,IF(tblRiskRegister322[[#This Row],[Risk Treatment Safeguard Risk Score]]&lt;AcceptableRisk1, IF(tblRiskRegister322[[#This Row],[Risk Treatment Safeguard Risk Score]]&lt;=tblRiskRegister322[[#This Row],[Risk Score]],"Yes","No"),"No"),"Yes")</f>
        <v>No</v>
      </c>
      <c r="AH127" s="17"/>
      <c r="AI127" s="17"/>
      <c r="AJ127" s="18"/>
    </row>
    <row r="128" spans="2:36" ht="42">
      <c r="B128" s="15" t="s">
        <v>94</v>
      </c>
      <c r="C128" s="15"/>
      <c r="D128" s="13">
        <v>4.3</v>
      </c>
      <c r="E128" s="14" t="s">
        <v>50</v>
      </c>
      <c r="F128" s="13" t="s">
        <v>416</v>
      </c>
      <c r="G128" s="13" t="s">
        <v>416</v>
      </c>
      <c r="H128" s="13" t="s">
        <v>512</v>
      </c>
      <c r="I128" s="14"/>
      <c r="J128" s="14"/>
      <c r="K128" s="14"/>
      <c r="L128" s="66">
        <v>1</v>
      </c>
      <c r="M128" s="24">
        <f>IFERROR(VLOOKUP(tblRiskRegister322[[#This Row],[Asset Class]],tblVCDBIndex[],4,FALSE),"")</f>
        <v>3</v>
      </c>
      <c r="N128" s="24">
        <f>IFERROR(VLOOKUP(10*tblRiskRegister322[[#This Row],[Safeguard Maturity Score]]+tblRiskRegister322[[#This Row],[VCDB Index]],tblHITIndexWeightTable[],4,FALSE),"")</f>
        <v>5</v>
      </c>
      <c r="O128" s="24">
        <f>VLOOKUP(tblRiskRegister322[[#This Row],[Asset Class]],tblInherentImpacts3046[],2,FALSE)</f>
        <v>3</v>
      </c>
      <c r="P128" s="24">
        <f>VLOOKUP(tblRiskRegister322[[#This Row],[Asset Class]],tblInherentImpacts3046[],3,FALSE)</f>
        <v>3</v>
      </c>
      <c r="Q128" s="24">
        <f>VLOOKUP(tblRiskRegister322[[#This Row],[Asset Class]],tblInherentImpacts3046[],4,FALSE)</f>
        <v>4</v>
      </c>
      <c r="R128" s="24">
        <f>VLOOKUP(tblRiskRegister322[[#This Row],[Asset Class]],tblInherentImpacts3046[],5,FALSE)</f>
        <v>4</v>
      </c>
      <c r="S128" s="24">
        <f>IFERROR(MAX(tblRiskRegister322[[#This Row],[Impact to Mission]:[Impact to Obligations]])*tblRiskRegister322[[#This Row],[Expectancy Score]],"")</f>
        <v>20</v>
      </c>
      <c r="T128" s="24">
        <f>tblRiskRegister322[[#This Row],[Risk Score]]</f>
        <v>20</v>
      </c>
      <c r="U128" s="13"/>
      <c r="V128" s="50">
        <v>4.3</v>
      </c>
      <c r="W128" s="15" t="s">
        <v>50</v>
      </c>
      <c r="X128" s="15" t="s">
        <v>308</v>
      </c>
      <c r="Y128" s="26"/>
      <c r="Z128" s="16"/>
      <c r="AA128" s="23" t="str">
        <f>IFERROR(VLOOKUP(10*tblRiskRegister322[[#This Row],[Risk Treatment Safeguard Maturity Score]]+tblRiskRegister322[[#This Row],[VCDB Index]],tblHITIndexWeightTable[],4,FALSE),"")</f>
        <v/>
      </c>
      <c r="AB128" s="65"/>
      <c r="AC128" s="65"/>
      <c r="AD128" s="65"/>
      <c r="AE128" s="65"/>
      <c r="AF128" s="23" t="str">
        <f>IFERROR(MAX(tblRiskRegister322[[#This Row],[Risk Treatment Safeguard Impact to Mission]:[Risk Treatment Safeguard Impact to Obligations]])*tblRiskRegister322[[#This Row],[Risk Treatment
Safeguard Expectancy Score]],"")</f>
        <v/>
      </c>
      <c r="AG128" s="23" t="str">
        <f>IF(tblRiskRegister322[[#This Row],[Risk Score]]&gt;AcceptableRisk1,IF(tblRiskRegister322[[#This Row],[Risk Treatment Safeguard Risk Score]]&lt;AcceptableRisk1, IF(tblRiskRegister322[[#This Row],[Risk Treatment Safeguard Risk Score]]&lt;=tblRiskRegister322[[#This Row],[Risk Score]],"Yes","No"),"No"),"Yes")</f>
        <v>No</v>
      </c>
      <c r="AH128" s="17"/>
      <c r="AI128" s="17"/>
      <c r="AJ128" s="18"/>
    </row>
    <row r="129" spans="2:36" ht="42">
      <c r="B129" s="15" t="s">
        <v>94</v>
      </c>
      <c r="C129" s="15"/>
      <c r="D129" s="13">
        <v>4.7</v>
      </c>
      <c r="E129" s="14" t="s">
        <v>54</v>
      </c>
      <c r="F129" s="13" t="s">
        <v>416</v>
      </c>
      <c r="G129" s="13" t="s">
        <v>416</v>
      </c>
      <c r="H129" s="13" t="s">
        <v>512</v>
      </c>
      <c r="I129" s="14"/>
      <c r="J129" s="14"/>
      <c r="K129" s="14"/>
      <c r="L129" s="66">
        <v>3</v>
      </c>
      <c r="M129" s="24">
        <f>IFERROR(VLOOKUP(tblRiskRegister322[[#This Row],[Asset Class]],tblVCDBIndex[],4,FALSE),"")</f>
        <v>3</v>
      </c>
      <c r="N129" s="24">
        <f>IFERROR(VLOOKUP(10*tblRiskRegister322[[#This Row],[Safeguard Maturity Score]]+tblRiskRegister322[[#This Row],[VCDB Index]],tblHITIndexWeightTable[],4,FALSE),"")</f>
        <v>3</v>
      </c>
      <c r="O129" s="24">
        <f>VLOOKUP(tblRiskRegister322[[#This Row],[Asset Class]],tblInherentImpacts3046[],2,FALSE)</f>
        <v>3</v>
      </c>
      <c r="P129" s="24">
        <f>VLOOKUP(tblRiskRegister322[[#This Row],[Asset Class]],tblInherentImpacts3046[],3,FALSE)</f>
        <v>3</v>
      </c>
      <c r="Q129" s="24">
        <f>VLOOKUP(tblRiskRegister322[[#This Row],[Asset Class]],tblInherentImpacts3046[],4,FALSE)</f>
        <v>4</v>
      </c>
      <c r="R129" s="24">
        <f>VLOOKUP(tblRiskRegister322[[#This Row],[Asset Class]],tblInherentImpacts3046[],5,FALSE)</f>
        <v>4</v>
      </c>
      <c r="S129" s="24">
        <f>IFERROR(MAX(tblRiskRegister322[[#This Row],[Impact to Mission]:[Impact to Obligations]])*tblRiskRegister322[[#This Row],[Expectancy Score]],"")</f>
        <v>12</v>
      </c>
      <c r="T129" s="24">
        <f>tblRiskRegister322[[#This Row],[Risk Score]]</f>
        <v>12</v>
      </c>
      <c r="U129" s="13"/>
      <c r="V129" s="50">
        <v>4.7</v>
      </c>
      <c r="W129" s="15" t="s">
        <v>54</v>
      </c>
      <c r="X129" s="15" t="s">
        <v>312</v>
      </c>
      <c r="Y129" s="26"/>
      <c r="Z129" s="16"/>
      <c r="AA129" s="23" t="str">
        <f>IFERROR(VLOOKUP(10*tblRiskRegister322[[#This Row],[Risk Treatment Safeguard Maturity Score]]+tblRiskRegister322[[#This Row],[VCDB Index]],tblHITIndexWeightTable[],4,FALSE),"")</f>
        <v/>
      </c>
      <c r="AB129" s="65"/>
      <c r="AC129" s="65"/>
      <c r="AD129" s="65"/>
      <c r="AE129" s="65"/>
      <c r="AF129" s="23" t="str">
        <f>IFERROR(MAX(tblRiskRegister322[[#This Row],[Risk Treatment Safeguard Impact to Mission]:[Risk Treatment Safeguard Impact to Obligations]])*tblRiskRegister322[[#This Row],[Risk Treatment
Safeguard Expectancy Score]],"")</f>
        <v/>
      </c>
      <c r="AG129" s="23" t="str">
        <f>IF(tblRiskRegister322[[#This Row],[Risk Score]]&gt;AcceptableRisk1,IF(tblRiskRegister322[[#This Row],[Risk Treatment Safeguard Risk Score]]&lt;AcceptableRisk1, IF(tblRiskRegister322[[#This Row],[Risk Treatment Safeguard Risk Score]]&lt;=tblRiskRegister322[[#This Row],[Risk Score]],"Yes","No"),"No"),"Yes")</f>
        <v>No</v>
      </c>
      <c r="AH129" s="17"/>
      <c r="AI129" s="17"/>
      <c r="AJ129" s="18"/>
    </row>
    <row r="130" spans="2:36" ht="56">
      <c r="B130" s="15" t="s">
        <v>94</v>
      </c>
      <c r="C130" s="15"/>
      <c r="D130" s="13">
        <v>5.0999999999999996</v>
      </c>
      <c r="E130" s="14" t="s">
        <v>55</v>
      </c>
      <c r="F130" s="13" t="s">
        <v>416</v>
      </c>
      <c r="G130" s="13" t="s">
        <v>416</v>
      </c>
      <c r="H130" s="13" t="s">
        <v>510</v>
      </c>
      <c r="I130" s="14"/>
      <c r="J130" s="14"/>
      <c r="K130" s="14"/>
      <c r="L130" s="66">
        <v>5</v>
      </c>
      <c r="M130" s="24">
        <f>IFERROR(VLOOKUP(tblRiskRegister322[[#This Row],[Asset Class]],tblVCDBIndex[],4,FALSE),"")</f>
        <v>3</v>
      </c>
      <c r="N130" s="24">
        <f>IFERROR(VLOOKUP(10*tblRiskRegister322[[#This Row],[Safeguard Maturity Score]]+tblRiskRegister322[[#This Row],[VCDB Index]],tblHITIndexWeightTable[],4,FALSE),"")</f>
        <v>1</v>
      </c>
      <c r="O130" s="24">
        <f>VLOOKUP(tblRiskRegister322[[#This Row],[Asset Class]],tblInherentImpacts3046[],2,FALSE)</f>
        <v>3</v>
      </c>
      <c r="P130" s="24">
        <f>VLOOKUP(tblRiskRegister322[[#This Row],[Asset Class]],tblInherentImpacts3046[],3,FALSE)</f>
        <v>3</v>
      </c>
      <c r="Q130" s="24">
        <f>VLOOKUP(tblRiskRegister322[[#This Row],[Asset Class]],tblInherentImpacts3046[],4,FALSE)</f>
        <v>4</v>
      </c>
      <c r="R130" s="24">
        <f>VLOOKUP(tblRiskRegister322[[#This Row],[Asset Class]],tblInherentImpacts3046[],5,FALSE)</f>
        <v>4</v>
      </c>
      <c r="S130" s="24">
        <f>IFERROR(MAX(tblRiskRegister322[[#This Row],[Impact to Mission]:[Impact to Obligations]])*tblRiskRegister322[[#This Row],[Expectancy Score]],"")</f>
        <v>4</v>
      </c>
      <c r="T130" s="24">
        <f>tblRiskRegister322[[#This Row],[Risk Score]]</f>
        <v>4</v>
      </c>
      <c r="U130" s="13"/>
      <c r="V130" s="50">
        <v>5.0999999999999996</v>
      </c>
      <c r="W130" s="15" t="s">
        <v>55</v>
      </c>
      <c r="X130" s="15" t="s">
        <v>317</v>
      </c>
      <c r="Y130" s="26"/>
      <c r="Z130" s="16"/>
      <c r="AA130" s="23" t="str">
        <f>IFERROR(VLOOKUP(10*tblRiskRegister322[[#This Row],[Risk Treatment Safeguard Maturity Score]]+tblRiskRegister322[[#This Row],[VCDB Index]],tblHITIndexWeightTable[],4,FALSE),"")</f>
        <v/>
      </c>
      <c r="AB130" s="65"/>
      <c r="AC130" s="65"/>
      <c r="AD130" s="65"/>
      <c r="AE130" s="65"/>
      <c r="AF130" s="23" t="str">
        <f>IFERROR(MAX(tblRiskRegister322[[#This Row],[Risk Treatment Safeguard Impact to Mission]:[Risk Treatment Safeguard Impact to Obligations]])*tblRiskRegister322[[#This Row],[Risk Treatment
Safeguard Expectancy Score]],"")</f>
        <v/>
      </c>
      <c r="AG130" s="23" t="str">
        <f>IF(tblRiskRegister322[[#This Row],[Risk Score]]&gt;AcceptableRisk1,IF(tblRiskRegister322[[#This Row],[Risk Treatment Safeguard Risk Score]]&lt;AcceptableRisk1, IF(tblRiskRegister322[[#This Row],[Risk Treatment Safeguard Risk Score]]&lt;=tblRiskRegister322[[#This Row],[Risk Score]],"Yes","No"),"No"),"Yes")</f>
        <v>Yes</v>
      </c>
      <c r="AH130" s="17"/>
      <c r="AI130" s="17"/>
      <c r="AJ130" s="18"/>
    </row>
    <row r="131" spans="2:36" ht="42">
      <c r="B131" s="15" t="s">
        <v>94</v>
      </c>
      <c r="C131" s="15"/>
      <c r="D131" s="13">
        <v>5.2</v>
      </c>
      <c r="E131" s="14" t="s">
        <v>14</v>
      </c>
      <c r="F131" s="13" t="s">
        <v>416</v>
      </c>
      <c r="G131" s="13" t="s">
        <v>416</v>
      </c>
      <c r="H131" s="13" t="s">
        <v>512</v>
      </c>
      <c r="I131" s="14"/>
      <c r="J131" s="14"/>
      <c r="K131" s="14"/>
      <c r="L131" s="66">
        <v>1</v>
      </c>
      <c r="M131" s="24">
        <f>IFERROR(VLOOKUP(tblRiskRegister322[[#This Row],[Asset Class]],tblVCDBIndex[],4,FALSE),"")</f>
        <v>3</v>
      </c>
      <c r="N131" s="24">
        <f>IFERROR(VLOOKUP(10*tblRiskRegister322[[#This Row],[Safeguard Maturity Score]]+tblRiskRegister322[[#This Row],[VCDB Index]],tblHITIndexWeightTable[],4,FALSE),"")</f>
        <v>5</v>
      </c>
      <c r="O131" s="24">
        <f>VLOOKUP(tblRiskRegister322[[#This Row],[Asset Class]],tblInherentImpacts3046[],2,FALSE)</f>
        <v>3</v>
      </c>
      <c r="P131" s="24">
        <f>VLOOKUP(tblRiskRegister322[[#This Row],[Asset Class]],tblInherentImpacts3046[],3,FALSE)</f>
        <v>3</v>
      </c>
      <c r="Q131" s="24">
        <f>VLOOKUP(tblRiskRegister322[[#This Row],[Asset Class]],tblInherentImpacts3046[],4,FALSE)</f>
        <v>4</v>
      </c>
      <c r="R131" s="24">
        <f>VLOOKUP(tblRiskRegister322[[#This Row],[Asset Class]],tblInherentImpacts3046[],5,FALSE)</f>
        <v>4</v>
      </c>
      <c r="S131" s="24">
        <f>IFERROR(MAX(tblRiskRegister322[[#This Row],[Impact to Mission]:[Impact to Obligations]])*tblRiskRegister322[[#This Row],[Expectancy Score]],"")</f>
        <v>20</v>
      </c>
      <c r="T131" s="24">
        <f>tblRiskRegister322[[#This Row],[Risk Score]]</f>
        <v>20</v>
      </c>
      <c r="U131" s="13"/>
      <c r="V131" s="50">
        <v>5.2</v>
      </c>
      <c r="W131" s="15" t="s">
        <v>14</v>
      </c>
      <c r="X131" s="15" t="s">
        <v>318</v>
      </c>
      <c r="Y131" s="26"/>
      <c r="Z131" s="16"/>
      <c r="AA131" s="23" t="str">
        <f>IFERROR(VLOOKUP(10*tblRiskRegister322[[#This Row],[Risk Treatment Safeguard Maturity Score]]+tblRiskRegister322[[#This Row],[VCDB Index]],tblHITIndexWeightTable[],4,FALSE),"")</f>
        <v/>
      </c>
      <c r="AB131" s="65"/>
      <c r="AC131" s="65"/>
      <c r="AD131" s="65"/>
      <c r="AE131" s="65"/>
      <c r="AF131" s="23" t="str">
        <f>IFERROR(MAX(tblRiskRegister322[[#This Row],[Risk Treatment Safeguard Impact to Mission]:[Risk Treatment Safeguard Impact to Obligations]])*tblRiskRegister322[[#This Row],[Risk Treatment
Safeguard Expectancy Score]],"")</f>
        <v/>
      </c>
      <c r="AG131" s="23" t="str">
        <f>IF(tblRiskRegister322[[#This Row],[Risk Score]]&gt;AcceptableRisk1,IF(tblRiskRegister322[[#This Row],[Risk Treatment Safeguard Risk Score]]&lt;AcceptableRisk1, IF(tblRiskRegister322[[#This Row],[Risk Treatment Safeguard Risk Score]]&lt;=tblRiskRegister322[[#This Row],[Risk Score]],"Yes","No"),"No"),"Yes")</f>
        <v>No</v>
      </c>
      <c r="AH131" s="17"/>
      <c r="AI131" s="17"/>
      <c r="AJ131" s="18"/>
    </row>
    <row r="132" spans="2:36" ht="14">
      <c r="B132" s="15" t="s">
        <v>94</v>
      </c>
      <c r="C132" s="15"/>
      <c r="D132" s="13">
        <v>5.3</v>
      </c>
      <c r="E132" s="14" t="s">
        <v>16</v>
      </c>
      <c r="F132" s="13" t="s">
        <v>416</v>
      </c>
      <c r="G132" s="13" t="s">
        <v>416</v>
      </c>
      <c r="H132" s="13" t="s">
        <v>511</v>
      </c>
      <c r="I132" s="14"/>
      <c r="J132" s="14"/>
      <c r="K132" s="14"/>
      <c r="L132" s="66">
        <v>2</v>
      </c>
      <c r="M132" s="24">
        <f>IFERROR(VLOOKUP(tblRiskRegister322[[#This Row],[Asset Class]],tblVCDBIndex[],4,FALSE),"")</f>
        <v>3</v>
      </c>
      <c r="N132" s="24">
        <f>IFERROR(VLOOKUP(10*tblRiskRegister322[[#This Row],[Safeguard Maturity Score]]+tblRiskRegister322[[#This Row],[VCDB Index]],tblHITIndexWeightTable[],4,FALSE),"")</f>
        <v>4</v>
      </c>
      <c r="O132" s="24">
        <f>VLOOKUP(tblRiskRegister322[[#This Row],[Asset Class]],tblInherentImpacts3046[],2,FALSE)</f>
        <v>3</v>
      </c>
      <c r="P132" s="24">
        <f>VLOOKUP(tblRiskRegister322[[#This Row],[Asset Class]],tblInherentImpacts3046[],3,FALSE)</f>
        <v>3</v>
      </c>
      <c r="Q132" s="24">
        <f>VLOOKUP(tblRiskRegister322[[#This Row],[Asset Class]],tblInherentImpacts3046[],4,FALSE)</f>
        <v>4</v>
      </c>
      <c r="R132" s="24">
        <f>VLOOKUP(tblRiskRegister322[[#This Row],[Asset Class]],tblInherentImpacts3046[],5,FALSE)</f>
        <v>4</v>
      </c>
      <c r="S132" s="24">
        <f>IFERROR(MAX(tblRiskRegister322[[#This Row],[Impact to Mission]:[Impact to Obligations]])*tblRiskRegister322[[#This Row],[Expectancy Score]],"")</f>
        <v>16</v>
      </c>
      <c r="T132" s="24">
        <f>tblRiskRegister322[[#This Row],[Risk Score]]</f>
        <v>16</v>
      </c>
      <c r="U132" s="13"/>
      <c r="V132" s="50">
        <v>5.3</v>
      </c>
      <c r="W132" s="15" t="s">
        <v>16</v>
      </c>
      <c r="X132" s="15" t="s">
        <v>319</v>
      </c>
      <c r="Y132" s="26"/>
      <c r="Z132" s="16"/>
      <c r="AA132" s="23" t="str">
        <f>IFERROR(VLOOKUP(10*tblRiskRegister322[[#This Row],[Risk Treatment Safeguard Maturity Score]]+tblRiskRegister322[[#This Row],[VCDB Index]],tblHITIndexWeightTable[],4,FALSE),"")</f>
        <v/>
      </c>
      <c r="AB132" s="65"/>
      <c r="AC132" s="65"/>
      <c r="AD132" s="65"/>
      <c r="AE132" s="65"/>
      <c r="AF132" s="23" t="str">
        <f>IFERROR(MAX(tblRiskRegister322[[#This Row],[Risk Treatment Safeguard Impact to Mission]:[Risk Treatment Safeguard Impact to Obligations]])*tblRiskRegister322[[#This Row],[Risk Treatment
Safeguard Expectancy Score]],"")</f>
        <v/>
      </c>
      <c r="AG132" s="23" t="str">
        <f>IF(tblRiskRegister322[[#This Row],[Risk Score]]&gt;AcceptableRisk1,IF(tblRiskRegister322[[#This Row],[Risk Treatment Safeguard Risk Score]]&lt;AcceptableRisk1, IF(tblRiskRegister322[[#This Row],[Risk Treatment Safeguard Risk Score]]&lt;=tblRiskRegister322[[#This Row],[Risk Score]],"Yes","No"),"No"),"Yes")</f>
        <v>No</v>
      </c>
      <c r="AH132" s="17"/>
      <c r="AI132" s="17"/>
      <c r="AJ132" s="18"/>
    </row>
    <row r="133" spans="2:36" ht="42">
      <c r="B133" s="15" t="s">
        <v>94</v>
      </c>
      <c r="C133" s="15"/>
      <c r="D133" s="13">
        <v>5.4</v>
      </c>
      <c r="E133" s="14" t="s">
        <v>56</v>
      </c>
      <c r="F133" s="13" t="s">
        <v>416</v>
      </c>
      <c r="G133" s="13" t="s">
        <v>416</v>
      </c>
      <c r="H133" s="13" t="s">
        <v>512</v>
      </c>
      <c r="I133" s="14"/>
      <c r="J133" s="14"/>
      <c r="K133" s="14"/>
      <c r="L133" s="66">
        <v>3</v>
      </c>
      <c r="M133" s="24">
        <f>IFERROR(VLOOKUP(tblRiskRegister322[[#This Row],[Asset Class]],tblVCDBIndex[],4,FALSE),"")</f>
        <v>3</v>
      </c>
      <c r="N133" s="24">
        <f>IFERROR(VLOOKUP(10*tblRiskRegister322[[#This Row],[Safeguard Maturity Score]]+tblRiskRegister322[[#This Row],[VCDB Index]],tblHITIndexWeightTable[],4,FALSE),"")</f>
        <v>3</v>
      </c>
      <c r="O133" s="24">
        <f>VLOOKUP(tblRiskRegister322[[#This Row],[Asset Class]],tblInherentImpacts3046[],2,FALSE)</f>
        <v>3</v>
      </c>
      <c r="P133" s="24">
        <f>VLOOKUP(tblRiskRegister322[[#This Row],[Asset Class]],tblInherentImpacts3046[],3,FALSE)</f>
        <v>3</v>
      </c>
      <c r="Q133" s="24">
        <f>VLOOKUP(tblRiskRegister322[[#This Row],[Asset Class]],tblInherentImpacts3046[],4,FALSE)</f>
        <v>4</v>
      </c>
      <c r="R133" s="24">
        <f>VLOOKUP(tblRiskRegister322[[#This Row],[Asset Class]],tblInherentImpacts3046[],5,FALSE)</f>
        <v>4</v>
      </c>
      <c r="S133" s="24">
        <f>IFERROR(MAX(tblRiskRegister322[[#This Row],[Impact to Mission]:[Impact to Obligations]])*tblRiskRegister322[[#This Row],[Expectancy Score]],"")</f>
        <v>12</v>
      </c>
      <c r="T133" s="24">
        <f>tblRiskRegister322[[#This Row],[Risk Score]]</f>
        <v>12</v>
      </c>
      <c r="U133" s="13"/>
      <c r="V133" s="50">
        <v>5.4</v>
      </c>
      <c r="W133" s="15" t="s">
        <v>56</v>
      </c>
      <c r="X133" s="15" t="s">
        <v>320</v>
      </c>
      <c r="Y133" s="26"/>
      <c r="Z133" s="16"/>
      <c r="AA133" s="23" t="str">
        <f>IFERROR(VLOOKUP(10*tblRiskRegister322[[#This Row],[Risk Treatment Safeguard Maturity Score]]+tblRiskRegister322[[#This Row],[VCDB Index]],tblHITIndexWeightTable[],4,FALSE),"")</f>
        <v/>
      </c>
      <c r="AB133" s="65"/>
      <c r="AC133" s="65"/>
      <c r="AD133" s="65"/>
      <c r="AE133" s="65"/>
      <c r="AF133" s="23" t="str">
        <f>IFERROR(MAX(tblRiskRegister322[[#This Row],[Risk Treatment Safeguard Impact to Mission]:[Risk Treatment Safeguard Impact to Obligations]])*tblRiskRegister322[[#This Row],[Risk Treatment
Safeguard Expectancy Score]],"")</f>
        <v/>
      </c>
      <c r="AG133" s="23" t="str">
        <f>IF(tblRiskRegister322[[#This Row],[Risk Score]]&gt;AcceptableRisk1,IF(tblRiskRegister322[[#This Row],[Risk Treatment Safeguard Risk Score]]&lt;AcceptableRisk1, IF(tblRiskRegister322[[#This Row],[Risk Treatment Safeguard Risk Score]]&lt;=tblRiskRegister322[[#This Row],[Risk Score]],"Yes","No"),"No"),"Yes")</f>
        <v>No</v>
      </c>
      <c r="AH133" s="17"/>
      <c r="AI133" s="17"/>
      <c r="AJ133" s="18"/>
    </row>
    <row r="134" spans="2:36" ht="56">
      <c r="B134" s="15" t="s">
        <v>94</v>
      </c>
      <c r="C134" s="15"/>
      <c r="D134" s="13">
        <v>5.5</v>
      </c>
      <c r="E134" s="14" t="s">
        <v>229</v>
      </c>
      <c r="F134" s="13"/>
      <c r="G134" s="13" t="s">
        <v>416</v>
      </c>
      <c r="H134" s="13" t="s">
        <v>510</v>
      </c>
      <c r="I134" s="14"/>
      <c r="J134" s="14"/>
      <c r="K134" s="14"/>
      <c r="L134" s="66">
        <v>4</v>
      </c>
      <c r="M134" s="24">
        <f>IFERROR(VLOOKUP(tblRiskRegister322[[#This Row],[Asset Class]],tblVCDBIndex[],4,FALSE),"")</f>
        <v>3</v>
      </c>
      <c r="N134" s="24">
        <f>IFERROR(VLOOKUP(10*tblRiskRegister322[[#This Row],[Safeguard Maturity Score]]+tblRiskRegister322[[#This Row],[VCDB Index]],tblHITIndexWeightTable[],4,FALSE),"")</f>
        <v>2</v>
      </c>
      <c r="O134" s="24">
        <f>VLOOKUP(tblRiskRegister322[[#This Row],[Asset Class]],tblInherentImpacts3046[],2,FALSE)</f>
        <v>3</v>
      </c>
      <c r="P134" s="24">
        <f>VLOOKUP(tblRiskRegister322[[#This Row],[Asset Class]],tblInherentImpacts3046[],3,FALSE)</f>
        <v>3</v>
      </c>
      <c r="Q134" s="24">
        <f>VLOOKUP(tblRiskRegister322[[#This Row],[Asset Class]],tblInherentImpacts3046[],4,FALSE)</f>
        <v>4</v>
      </c>
      <c r="R134" s="24">
        <f>VLOOKUP(tblRiskRegister322[[#This Row],[Asset Class]],tblInherentImpacts3046[],5,FALSE)</f>
        <v>4</v>
      </c>
      <c r="S134" s="24">
        <f>IFERROR(MAX(tblRiskRegister322[[#This Row],[Impact to Mission]:[Impact to Obligations]])*tblRiskRegister322[[#This Row],[Expectancy Score]],"")</f>
        <v>8</v>
      </c>
      <c r="T134" s="24">
        <f>tblRiskRegister322[[#This Row],[Risk Score]]</f>
        <v>8</v>
      </c>
      <c r="U134" s="13"/>
      <c r="V134" s="50">
        <v>5.5</v>
      </c>
      <c r="W134" s="15" t="s">
        <v>229</v>
      </c>
      <c r="X134" s="15" t="s">
        <v>321</v>
      </c>
      <c r="Y134" s="26"/>
      <c r="Z134" s="16"/>
      <c r="AA134" s="23" t="str">
        <f>IFERROR(VLOOKUP(10*tblRiskRegister322[[#This Row],[Risk Treatment Safeguard Maturity Score]]+tblRiskRegister322[[#This Row],[VCDB Index]],tblHITIndexWeightTable[],4,FALSE),"")</f>
        <v/>
      </c>
      <c r="AB134" s="65"/>
      <c r="AC134" s="65"/>
      <c r="AD134" s="65"/>
      <c r="AE134" s="65"/>
      <c r="AF134" s="23" t="str">
        <f>IFERROR(MAX(tblRiskRegister322[[#This Row],[Risk Treatment Safeguard Impact to Mission]:[Risk Treatment Safeguard Impact to Obligations]])*tblRiskRegister322[[#This Row],[Risk Treatment
Safeguard Expectancy Score]],"")</f>
        <v/>
      </c>
      <c r="AG134" s="23" t="str">
        <f>IF(tblRiskRegister322[[#This Row],[Risk Score]]&gt;AcceptableRisk1,IF(tblRiskRegister322[[#This Row],[Risk Treatment Safeguard Risk Score]]&lt;AcceptableRisk1, IF(tblRiskRegister322[[#This Row],[Risk Treatment Safeguard Risk Score]]&lt;=tblRiskRegister322[[#This Row],[Risk Score]],"Yes","No"),"No"),"Yes")</f>
        <v>Yes</v>
      </c>
      <c r="AH134" s="17"/>
      <c r="AI134" s="17"/>
      <c r="AJ134" s="18"/>
    </row>
    <row r="135" spans="2:36" ht="14">
      <c r="B135" s="15" t="s">
        <v>94</v>
      </c>
      <c r="C135" s="15"/>
      <c r="D135" s="13">
        <v>5.6</v>
      </c>
      <c r="E135" s="14" t="s">
        <v>230</v>
      </c>
      <c r="F135" s="13"/>
      <c r="G135" s="13" t="s">
        <v>416</v>
      </c>
      <c r="H135" s="13" t="s">
        <v>512</v>
      </c>
      <c r="I135" s="14"/>
      <c r="J135" s="14"/>
      <c r="K135" s="14"/>
      <c r="L135" s="66">
        <v>5</v>
      </c>
      <c r="M135" s="24">
        <f>IFERROR(VLOOKUP(tblRiskRegister322[[#This Row],[Asset Class]],tblVCDBIndex[],4,FALSE),"")</f>
        <v>3</v>
      </c>
      <c r="N135" s="24">
        <f>IFERROR(VLOOKUP(10*tblRiskRegister322[[#This Row],[Safeguard Maturity Score]]+tblRiskRegister322[[#This Row],[VCDB Index]],tblHITIndexWeightTable[],4,FALSE),"")</f>
        <v>1</v>
      </c>
      <c r="O135" s="24">
        <f>VLOOKUP(tblRiskRegister322[[#This Row],[Asset Class]],tblInherentImpacts3046[],2,FALSE)</f>
        <v>3</v>
      </c>
      <c r="P135" s="24">
        <f>VLOOKUP(tblRiskRegister322[[#This Row],[Asset Class]],tblInherentImpacts3046[],3,FALSE)</f>
        <v>3</v>
      </c>
      <c r="Q135" s="24">
        <f>VLOOKUP(tblRiskRegister322[[#This Row],[Asset Class]],tblInherentImpacts3046[],4,FALSE)</f>
        <v>4</v>
      </c>
      <c r="R135" s="24">
        <f>VLOOKUP(tblRiskRegister322[[#This Row],[Asset Class]],tblInherentImpacts3046[],5,FALSE)</f>
        <v>4</v>
      </c>
      <c r="S135" s="24">
        <f>IFERROR(MAX(tblRiskRegister322[[#This Row],[Impact to Mission]:[Impact to Obligations]])*tblRiskRegister322[[#This Row],[Expectancy Score]],"")</f>
        <v>4</v>
      </c>
      <c r="T135" s="24">
        <f>tblRiskRegister322[[#This Row],[Risk Score]]</f>
        <v>4</v>
      </c>
      <c r="U135" s="13"/>
      <c r="V135" s="50">
        <v>5.6</v>
      </c>
      <c r="W135" s="15" t="s">
        <v>230</v>
      </c>
      <c r="X135" s="15" t="s">
        <v>322</v>
      </c>
      <c r="Y135" s="26"/>
      <c r="Z135" s="16"/>
      <c r="AA135" s="23" t="str">
        <f>IFERROR(VLOOKUP(10*tblRiskRegister322[[#This Row],[Risk Treatment Safeguard Maturity Score]]+tblRiskRegister322[[#This Row],[VCDB Index]],tblHITIndexWeightTable[],4,FALSE),"")</f>
        <v/>
      </c>
      <c r="AB135" s="65"/>
      <c r="AC135" s="65"/>
      <c r="AD135" s="65"/>
      <c r="AE135" s="65"/>
      <c r="AF135" s="23" t="str">
        <f>IFERROR(MAX(tblRiskRegister322[[#This Row],[Risk Treatment Safeguard Impact to Mission]:[Risk Treatment Safeguard Impact to Obligations]])*tblRiskRegister322[[#This Row],[Risk Treatment
Safeguard Expectancy Score]],"")</f>
        <v/>
      </c>
      <c r="AG135" s="23" t="str">
        <f>IF(tblRiskRegister322[[#This Row],[Risk Score]]&gt;AcceptableRisk1,IF(tblRiskRegister322[[#This Row],[Risk Treatment Safeguard Risk Score]]&lt;AcceptableRisk1, IF(tblRiskRegister322[[#This Row],[Risk Treatment Safeguard Risk Score]]&lt;=tblRiskRegister322[[#This Row],[Risk Score]],"Yes","No"),"No"),"Yes")</f>
        <v>Yes</v>
      </c>
      <c r="AH135" s="17"/>
      <c r="AI135" s="17"/>
      <c r="AJ135" s="18"/>
    </row>
    <row r="136" spans="2:36" ht="28">
      <c r="B136" s="15" t="s">
        <v>94</v>
      </c>
      <c r="C136" s="15"/>
      <c r="D136" s="13">
        <v>6.1</v>
      </c>
      <c r="E136" s="14" t="s">
        <v>57</v>
      </c>
      <c r="F136" s="13" t="s">
        <v>416</v>
      </c>
      <c r="G136" s="13" t="s">
        <v>416</v>
      </c>
      <c r="H136" s="13" t="s">
        <v>512</v>
      </c>
      <c r="I136" s="14"/>
      <c r="J136" s="14"/>
      <c r="K136" s="14"/>
      <c r="L136" s="66">
        <v>2</v>
      </c>
      <c r="M136" s="24">
        <f>IFERROR(VLOOKUP(tblRiskRegister322[[#This Row],[Asset Class]],tblVCDBIndex[],4,FALSE),"")</f>
        <v>3</v>
      </c>
      <c r="N136" s="24">
        <f>IFERROR(VLOOKUP(10*tblRiskRegister322[[#This Row],[Safeguard Maturity Score]]+tblRiskRegister322[[#This Row],[VCDB Index]],tblHITIndexWeightTable[],4,FALSE),"")</f>
        <v>4</v>
      </c>
      <c r="O136" s="24">
        <f>VLOOKUP(tblRiskRegister322[[#This Row],[Asset Class]],tblInherentImpacts3046[],2,FALSE)</f>
        <v>3</v>
      </c>
      <c r="P136" s="24">
        <f>VLOOKUP(tblRiskRegister322[[#This Row],[Asset Class]],tblInherentImpacts3046[],3,FALSE)</f>
        <v>3</v>
      </c>
      <c r="Q136" s="24">
        <f>VLOOKUP(tblRiskRegister322[[#This Row],[Asset Class]],tblInherentImpacts3046[],4,FALSE)</f>
        <v>4</v>
      </c>
      <c r="R136" s="24">
        <f>VLOOKUP(tblRiskRegister322[[#This Row],[Asset Class]],tblInherentImpacts3046[],5,FALSE)</f>
        <v>4</v>
      </c>
      <c r="S136" s="24">
        <f>IFERROR(MAX(tblRiskRegister322[[#This Row],[Impact to Mission]:[Impact to Obligations]])*tblRiskRegister322[[#This Row],[Expectancy Score]],"")</f>
        <v>16</v>
      </c>
      <c r="T136" s="24">
        <f>tblRiskRegister322[[#This Row],[Risk Score]]</f>
        <v>16</v>
      </c>
      <c r="U136" s="13"/>
      <c r="V136" s="50">
        <v>6.1</v>
      </c>
      <c r="W136" s="15" t="s">
        <v>57</v>
      </c>
      <c r="X136" s="15" t="s">
        <v>323</v>
      </c>
      <c r="Y136" s="26"/>
      <c r="Z136" s="16"/>
      <c r="AA136" s="23" t="str">
        <f>IFERROR(VLOOKUP(10*tblRiskRegister322[[#This Row],[Risk Treatment Safeguard Maturity Score]]+tblRiskRegister322[[#This Row],[VCDB Index]],tblHITIndexWeightTable[],4,FALSE),"")</f>
        <v/>
      </c>
      <c r="AB136" s="65"/>
      <c r="AC136" s="65"/>
      <c r="AD136" s="65"/>
      <c r="AE136" s="65"/>
      <c r="AF136" s="23" t="str">
        <f>IFERROR(MAX(tblRiskRegister322[[#This Row],[Risk Treatment Safeguard Impact to Mission]:[Risk Treatment Safeguard Impact to Obligations]])*tblRiskRegister322[[#This Row],[Risk Treatment
Safeguard Expectancy Score]],"")</f>
        <v/>
      </c>
      <c r="AG136" s="23" t="str">
        <f>IF(tblRiskRegister322[[#This Row],[Risk Score]]&gt;AcceptableRisk1,IF(tblRiskRegister322[[#This Row],[Risk Treatment Safeguard Risk Score]]&lt;AcceptableRisk1, IF(tblRiskRegister322[[#This Row],[Risk Treatment Safeguard Risk Score]]&lt;=tblRiskRegister322[[#This Row],[Risk Score]],"Yes","No"),"No"),"Yes")</f>
        <v>No</v>
      </c>
      <c r="AH136" s="17"/>
      <c r="AI136" s="17"/>
      <c r="AJ136" s="18"/>
    </row>
    <row r="137" spans="2:36" ht="56">
      <c r="B137" s="15" t="s">
        <v>94</v>
      </c>
      <c r="C137" s="15"/>
      <c r="D137" s="13">
        <v>6.2</v>
      </c>
      <c r="E137" s="14" t="s">
        <v>58</v>
      </c>
      <c r="F137" s="13" t="s">
        <v>416</v>
      </c>
      <c r="G137" s="13" t="s">
        <v>416</v>
      </c>
      <c r="H137" s="13" t="s">
        <v>512</v>
      </c>
      <c r="I137" s="14"/>
      <c r="J137" s="14"/>
      <c r="K137" s="14"/>
      <c r="L137" s="66">
        <v>1</v>
      </c>
      <c r="M137" s="24">
        <f>IFERROR(VLOOKUP(tblRiskRegister322[[#This Row],[Asset Class]],tblVCDBIndex[],4,FALSE),"")</f>
        <v>3</v>
      </c>
      <c r="N137" s="24">
        <f>IFERROR(VLOOKUP(10*tblRiskRegister322[[#This Row],[Safeguard Maturity Score]]+tblRiskRegister322[[#This Row],[VCDB Index]],tblHITIndexWeightTable[],4,FALSE),"")</f>
        <v>5</v>
      </c>
      <c r="O137" s="24">
        <f>VLOOKUP(tblRiskRegister322[[#This Row],[Asset Class]],tblInherentImpacts3046[],2,FALSE)</f>
        <v>3</v>
      </c>
      <c r="P137" s="24">
        <f>VLOOKUP(tblRiskRegister322[[#This Row],[Asset Class]],tblInherentImpacts3046[],3,FALSE)</f>
        <v>3</v>
      </c>
      <c r="Q137" s="24">
        <f>VLOOKUP(tblRiskRegister322[[#This Row],[Asset Class]],tblInherentImpacts3046[],4,FALSE)</f>
        <v>4</v>
      </c>
      <c r="R137" s="24">
        <f>VLOOKUP(tblRiskRegister322[[#This Row],[Asset Class]],tblInherentImpacts3046[],5,FALSE)</f>
        <v>4</v>
      </c>
      <c r="S137" s="24">
        <f>IFERROR(MAX(tblRiskRegister322[[#This Row],[Impact to Mission]:[Impact to Obligations]])*tblRiskRegister322[[#This Row],[Expectancy Score]],"")</f>
        <v>20</v>
      </c>
      <c r="T137" s="24">
        <f>tblRiskRegister322[[#This Row],[Risk Score]]</f>
        <v>20</v>
      </c>
      <c r="U137" s="13"/>
      <c r="V137" s="50">
        <v>6.2</v>
      </c>
      <c r="W137" s="15" t="s">
        <v>58</v>
      </c>
      <c r="X137" s="15" t="s">
        <v>324</v>
      </c>
      <c r="Y137" s="26"/>
      <c r="Z137" s="16"/>
      <c r="AA137" s="23" t="str">
        <f>IFERROR(VLOOKUP(10*tblRiskRegister322[[#This Row],[Risk Treatment Safeguard Maturity Score]]+tblRiskRegister322[[#This Row],[VCDB Index]],tblHITIndexWeightTable[],4,FALSE),"")</f>
        <v/>
      </c>
      <c r="AB137" s="65"/>
      <c r="AC137" s="65"/>
      <c r="AD137" s="65"/>
      <c r="AE137" s="65"/>
      <c r="AF137" s="23" t="str">
        <f>IFERROR(MAX(tblRiskRegister322[[#This Row],[Risk Treatment Safeguard Impact to Mission]:[Risk Treatment Safeguard Impact to Obligations]])*tblRiskRegister322[[#This Row],[Risk Treatment
Safeguard Expectancy Score]],"")</f>
        <v/>
      </c>
      <c r="AG137" s="23" t="str">
        <f>IF(tblRiskRegister322[[#This Row],[Risk Score]]&gt;AcceptableRisk1,IF(tblRiskRegister322[[#This Row],[Risk Treatment Safeguard Risk Score]]&lt;AcceptableRisk1, IF(tblRiskRegister322[[#This Row],[Risk Treatment Safeguard Risk Score]]&lt;=tblRiskRegister322[[#This Row],[Risk Score]],"Yes","No"),"No"),"Yes")</f>
        <v>No</v>
      </c>
      <c r="AH137" s="17"/>
      <c r="AI137" s="17"/>
      <c r="AJ137" s="18"/>
    </row>
    <row r="138" spans="2:36" ht="42">
      <c r="B138" s="15" t="s">
        <v>94</v>
      </c>
      <c r="C138" s="15"/>
      <c r="D138" s="13">
        <v>6.3</v>
      </c>
      <c r="E138" s="14" t="s">
        <v>59</v>
      </c>
      <c r="F138" s="13" t="s">
        <v>416</v>
      </c>
      <c r="G138" s="13" t="s">
        <v>416</v>
      </c>
      <c r="H138" s="13" t="s">
        <v>512</v>
      </c>
      <c r="I138" s="14"/>
      <c r="J138" s="14"/>
      <c r="K138" s="14"/>
      <c r="L138" s="66">
        <v>1</v>
      </c>
      <c r="M138" s="24">
        <f>IFERROR(VLOOKUP(tblRiskRegister322[[#This Row],[Asset Class]],tblVCDBIndex[],4,FALSE),"")</f>
        <v>3</v>
      </c>
      <c r="N138" s="24">
        <f>IFERROR(VLOOKUP(10*tblRiskRegister322[[#This Row],[Safeguard Maturity Score]]+tblRiskRegister322[[#This Row],[VCDB Index]],tblHITIndexWeightTable[],4,FALSE),"")</f>
        <v>5</v>
      </c>
      <c r="O138" s="24">
        <f>VLOOKUP(tblRiskRegister322[[#This Row],[Asset Class]],tblInherentImpacts3046[],2,FALSE)</f>
        <v>3</v>
      </c>
      <c r="P138" s="24">
        <f>VLOOKUP(tblRiskRegister322[[#This Row],[Asset Class]],tblInherentImpacts3046[],3,FALSE)</f>
        <v>3</v>
      </c>
      <c r="Q138" s="24">
        <f>VLOOKUP(tblRiskRegister322[[#This Row],[Asset Class]],tblInherentImpacts3046[],4,FALSE)</f>
        <v>4</v>
      </c>
      <c r="R138" s="24">
        <f>VLOOKUP(tblRiskRegister322[[#This Row],[Asset Class]],tblInherentImpacts3046[],5,FALSE)</f>
        <v>4</v>
      </c>
      <c r="S138" s="24">
        <f>IFERROR(MAX(tblRiskRegister322[[#This Row],[Impact to Mission]:[Impact to Obligations]])*tblRiskRegister322[[#This Row],[Expectancy Score]],"")</f>
        <v>20</v>
      </c>
      <c r="T138" s="24">
        <f>tblRiskRegister322[[#This Row],[Risk Score]]</f>
        <v>20</v>
      </c>
      <c r="U138" s="13"/>
      <c r="V138" s="50">
        <v>6.3</v>
      </c>
      <c r="W138" s="15" t="s">
        <v>59</v>
      </c>
      <c r="X138" s="15" t="s">
        <v>325</v>
      </c>
      <c r="Y138" s="26"/>
      <c r="Z138" s="16"/>
      <c r="AA138" s="23" t="str">
        <f>IFERROR(VLOOKUP(10*tblRiskRegister322[[#This Row],[Risk Treatment Safeguard Maturity Score]]+tblRiskRegister322[[#This Row],[VCDB Index]],tblHITIndexWeightTable[],4,FALSE),"")</f>
        <v/>
      </c>
      <c r="AB138" s="65"/>
      <c r="AC138" s="65"/>
      <c r="AD138" s="65"/>
      <c r="AE138" s="65"/>
      <c r="AF138" s="23" t="str">
        <f>IFERROR(MAX(tblRiskRegister322[[#This Row],[Risk Treatment Safeguard Impact to Mission]:[Risk Treatment Safeguard Impact to Obligations]])*tblRiskRegister322[[#This Row],[Risk Treatment
Safeguard Expectancy Score]],"")</f>
        <v/>
      </c>
      <c r="AG138" s="23" t="str">
        <f>IF(tblRiskRegister322[[#This Row],[Risk Score]]&gt;AcceptableRisk1,IF(tblRiskRegister322[[#This Row],[Risk Treatment Safeguard Risk Score]]&lt;AcceptableRisk1, IF(tblRiskRegister322[[#This Row],[Risk Treatment Safeguard Risk Score]]&lt;=tblRiskRegister322[[#This Row],[Risk Score]],"Yes","No"),"No"),"Yes")</f>
        <v>No</v>
      </c>
      <c r="AH138" s="17"/>
      <c r="AI138" s="17"/>
      <c r="AJ138" s="18"/>
    </row>
    <row r="139" spans="2:36" ht="28">
      <c r="B139" s="15" t="s">
        <v>94</v>
      </c>
      <c r="C139" s="15"/>
      <c r="D139" s="13">
        <v>6.4</v>
      </c>
      <c r="E139" s="14" t="s">
        <v>60</v>
      </c>
      <c r="F139" s="13" t="s">
        <v>416</v>
      </c>
      <c r="G139" s="13" t="s">
        <v>416</v>
      </c>
      <c r="H139" s="13" t="s">
        <v>512</v>
      </c>
      <c r="I139" s="14"/>
      <c r="J139" s="14"/>
      <c r="K139" s="14"/>
      <c r="L139" s="66">
        <v>3</v>
      </c>
      <c r="M139" s="24">
        <f>IFERROR(VLOOKUP(tblRiskRegister322[[#This Row],[Asset Class]],tblVCDBIndex[],4,FALSE),"")</f>
        <v>3</v>
      </c>
      <c r="N139" s="24">
        <f>IFERROR(VLOOKUP(10*tblRiskRegister322[[#This Row],[Safeguard Maturity Score]]+tblRiskRegister322[[#This Row],[VCDB Index]],tblHITIndexWeightTable[],4,FALSE),"")</f>
        <v>3</v>
      </c>
      <c r="O139" s="24">
        <f>VLOOKUP(tblRiskRegister322[[#This Row],[Asset Class]],tblInherentImpacts3046[],2,FALSE)</f>
        <v>3</v>
      </c>
      <c r="P139" s="24">
        <f>VLOOKUP(tblRiskRegister322[[#This Row],[Asset Class]],tblInherentImpacts3046[],3,FALSE)</f>
        <v>3</v>
      </c>
      <c r="Q139" s="24">
        <f>VLOOKUP(tblRiskRegister322[[#This Row],[Asset Class]],tblInherentImpacts3046[],4,FALSE)</f>
        <v>4</v>
      </c>
      <c r="R139" s="24">
        <f>VLOOKUP(tblRiskRegister322[[#This Row],[Asset Class]],tblInherentImpacts3046[],5,FALSE)</f>
        <v>4</v>
      </c>
      <c r="S139" s="24">
        <f>IFERROR(MAX(tblRiskRegister322[[#This Row],[Impact to Mission]:[Impact to Obligations]])*tblRiskRegister322[[#This Row],[Expectancy Score]],"")</f>
        <v>12</v>
      </c>
      <c r="T139" s="24">
        <f>tblRiskRegister322[[#This Row],[Risk Score]]</f>
        <v>12</v>
      </c>
      <c r="U139" s="13"/>
      <c r="V139" s="50">
        <v>6.4</v>
      </c>
      <c r="W139" s="15" t="s">
        <v>60</v>
      </c>
      <c r="X139" s="15" t="s">
        <v>326</v>
      </c>
      <c r="Y139" s="26"/>
      <c r="Z139" s="16"/>
      <c r="AA139" s="23" t="str">
        <f>IFERROR(VLOOKUP(10*tblRiskRegister322[[#This Row],[Risk Treatment Safeguard Maturity Score]]+tblRiskRegister322[[#This Row],[VCDB Index]],tblHITIndexWeightTable[],4,FALSE),"")</f>
        <v/>
      </c>
      <c r="AB139" s="65"/>
      <c r="AC139" s="65"/>
      <c r="AD139" s="65"/>
      <c r="AE139" s="65"/>
      <c r="AF139" s="23" t="str">
        <f>IFERROR(MAX(tblRiskRegister322[[#This Row],[Risk Treatment Safeguard Impact to Mission]:[Risk Treatment Safeguard Impact to Obligations]])*tblRiskRegister322[[#This Row],[Risk Treatment
Safeguard Expectancy Score]],"")</f>
        <v/>
      </c>
      <c r="AG139" s="23" t="str">
        <f>IF(tblRiskRegister322[[#This Row],[Risk Score]]&gt;AcceptableRisk1,IF(tblRiskRegister322[[#This Row],[Risk Treatment Safeguard Risk Score]]&lt;AcceptableRisk1, IF(tblRiskRegister322[[#This Row],[Risk Treatment Safeguard Risk Score]]&lt;=tblRiskRegister322[[#This Row],[Risk Score]],"Yes","No"),"No"),"Yes")</f>
        <v>No</v>
      </c>
      <c r="AH139" s="17"/>
      <c r="AI139" s="17"/>
      <c r="AJ139" s="18"/>
    </row>
    <row r="140" spans="2:36" ht="28">
      <c r="B140" s="15" t="s">
        <v>94</v>
      </c>
      <c r="C140" s="15"/>
      <c r="D140" s="13">
        <v>6.5</v>
      </c>
      <c r="E140" s="14" t="s">
        <v>61</v>
      </c>
      <c r="F140" s="13" t="s">
        <v>416</v>
      </c>
      <c r="G140" s="13" t="s">
        <v>416</v>
      </c>
      <c r="H140" s="13" t="s">
        <v>512</v>
      </c>
      <c r="I140" s="14"/>
      <c r="J140" s="14"/>
      <c r="K140" s="14"/>
      <c r="L140" s="16"/>
      <c r="M140" s="24">
        <f>IFERROR(VLOOKUP(tblRiskRegister322[[#This Row],[Asset Class]],tblVCDBIndex[],4,FALSE),"")</f>
        <v>3</v>
      </c>
      <c r="N140" s="24" t="str">
        <f>IFERROR(VLOOKUP(10*tblRiskRegister322[[#This Row],[Safeguard Maturity Score]]+tblRiskRegister322[[#This Row],[VCDB Index]],tblHITIndexWeightTable[],4,FALSE),"")</f>
        <v/>
      </c>
      <c r="O140" s="24">
        <f>VLOOKUP(tblRiskRegister322[[#This Row],[Asset Class]],tblInherentImpacts3046[],2,FALSE)</f>
        <v>3</v>
      </c>
      <c r="P140" s="24">
        <f>VLOOKUP(tblRiskRegister322[[#This Row],[Asset Class]],tblInherentImpacts3046[],3,FALSE)</f>
        <v>3</v>
      </c>
      <c r="Q140" s="24">
        <f>VLOOKUP(tblRiskRegister322[[#This Row],[Asset Class]],tblInherentImpacts3046[],4,FALSE)</f>
        <v>4</v>
      </c>
      <c r="R140" s="24">
        <f>VLOOKUP(tblRiskRegister322[[#This Row],[Asset Class]],tblInherentImpacts3046[],5,FALSE)</f>
        <v>4</v>
      </c>
      <c r="S140" s="24" t="str">
        <f>IFERROR(MAX(tblRiskRegister322[[#This Row],[Impact to Mission]:[Impact to Obligations]])*tblRiskRegister322[[#This Row],[Expectancy Score]],"")</f>
        <v/>
      </c>
      <c r="T140" s="24" t="str">
        <f>tblRiskRegister322[[#This Row],[Risk Score]]</f>
        <v/>
      </c>
      <c r="U140" s="13"/>
      <c r="V140" s="50">
        <v>6.5</v>
      </c>
      <c r="W140" s="15" t="s">
        <v>61</v>
      </c>
      <c r="X140" s="15" t="s">
        <v>327</v>
      </c>
      <c r="Y140" s="26"/>
      <c r="Z140" s="16"/>
      <c r="AA140" s="23" t="str">
        <f>IFERROR(VLOOKUP(10*tblRiskRegister322[[#This Row],[Risk Treatment Safeguard Maturity Score]]+tblRiskRegister322[[#This Row],[VCDB Index]],tblHITIndexWeightTable[],4,FALSE),"")</f>
        <v/>
      </c>
      <c r="AB140" s="65"/>
      <c r="AC140" s="65"/>
      <c r="AD140" s="65"/>
      <c r="AE140" s="65"/>
      <c r="AF140" s="23" t="str">
        <f>IFERROR(MAX(tblRiskRegister322[[#This Row],[Risk Treatment Safeguard Impact to Mission]:[Risk Treatment Safeguard Impact to Obligations]])*tblRiskRegister322[[#This Row],[Risk Treatment
Safeguard Expectancy Score]],"")</f>
        <v/>
      </c>
      <c r="AG140" s="23" t="str">
        <f>IF(tblRiskRegister322[[#This Row],[Risk Score]]&gt;AcceptableRisk1,IF(tblRiskRegister322[[#This Row],[Risk Treatment Safeguard Risk Score]]&lt;AcceptableRisk1, IF(tblRiskRegister322[[#This Row],[Risk Treatment Safeguard Risk Score]]&lt;=tblRiskRegister322[[#This Row],[Risk Score]],"Yes","No"),"No"),"Yes")</f>
        <v>No</v>
      </c>
      <c r="AH140" s="17"/>
      <c r="AI140" s="17"/>
      <c r="AJ140" s="18"/>
    </row>
    <row r="141" spans="2:36" ht="42">
      <c r="B141" s="15" t="s">
        <v>94</v>
      </c>
      <c r="C141" s="15"/>
      <c r="D141" s="13">
        <v>6.6</v>
      </c>
      <c r="E141" s="14" t="s">
        <v>231</v>
      </c>
      <c r="F141" s="13"/>
      <c r="G141" s="13" t="s">
        <v>416</v>
      </c>
      <c r="H141" s="13" t="s">
        <v>510</v>
      </c>
      <c r="I141" s="14"/>
      <c r="J141" s="14"/>
      <c r="K141" s="14"/>
      <c r="L141" s="16"/>
      <c r="M141" s="24">
        <f>IFERROR(VLOOKUP(tblRiskRegister322[[#This Row],[Asset Class]],tblVCDBIndex[],4,FALSE),"")</f>
        <v>3</v>
      </c>
      <c r="N141" s="24" t="str">
        <f>IFERROR(VLOOKUP(10*tblRiskRegister322[[#This Row],[Safeguard Maturity Score]]+tblRiskRegister322[[#This Row],[VCDB Index]],tblHITIndexWeightTable[],4,FALSE),"")</f>
        <v/>
      </c>
      <c r="O141" s="24">
        <f>VLOOKUP(tblRiskRegister322[[#This Row],[Asset Class]],tblInherentImpacts3046[],2,FALSE)</f>
        <v>3</v>
      </c>
      <c r="P141" s="24">
        <f>VLOOKUP(tblRiskRegister322[[#This Row],[Asset Class]],tblInherentImpacts3046[],3,FALSE)</f>
        <v>3</v>
      </c>
      <c r="Q141" s="24">
        <f>VLOOKUP(tblRiskRegister322[[#This Row],[Asset Class]],tblInherentImpacts3046[],4,FALSE)</f>
        <v>4</v>
      </c>
      <c r="R141" s="24">
        <f>VLOOKUP(tblRiskRegister322[[#This Row],[Asset Class]],tblInherentImpacts3046[],5,FALSE)</f>
        <v>4</v>
      </c>
      <c r="S141" s="24" t="str">
        <f>IFERROR(MAX(tblRiskRegister322[[#This Row],[Impact to Mission]:[Impact to Obligations]])*tblRiskRegister322[[#This Row],[Expectancy Score]],"")</f>
        <v/>
      </c>
      <c r="T141" s="24" t="str">
        <f>tblRiskRegister322[[#This Row],[Risk Score]]</f>
        <v/>
      </c>
      <c r="U141" s="13"/>
      <c r="V141" s="50">
        <v>6.6</v>
      </c>
      <c r="W141" s="15" t="s">
        <v>231</v>
      </c>
      <c r="X141" s="15" t="s">
        <v>328</v>
      </c>
      <c r="Y141" s="26"/>
      <c r="Z141" s="16"/>
      <c r="AA141" s="23" t="str">
        <f>IFERROR(VLOOKUP(10*tblRiskRegister322[[#This Row],[Risk Treatment Safeguard Maturity Score]]+tblRiskRegister322[[#This Row],[VCDB Index]],tblHITIndexWeightTable[],4,FALSE),"")</f>
        <v/>
      </c>
      <c r="AB141" s="65"/>
      <c r="AC141" s="65"/>
      <c r="AD141" s="65"/>
      <c r="AE141" s="65"/>
      <c r="AF141" s="23" t="str">
        <f>IFERROR(MAX(tblRiskRegister322[[#This Row],[Risk Treatment Safeguard Impact to Mission]:[Risk Treatment Safeguard Impact to Obligations]])*tblRiskRegister322[[#This Row],[Risk Treatment
Safeguard Expectancy Score]],"")</f>
        <v/>
      </c>
      <c r="AG141" s="23" t="str">
        <f>IF(tblRiskRegister322[[#This Row],[Risk Score]]&gt;AcceptableRisk1,IF(tblRiskRegister322[[#This Row],[Risk Treatment Safeguard Risk Score]]&lt;AcceptableRisk1, IF(tblRiskRegister322[[#This Row],[Risk Treatment Safeguard Risk Score]]&lt;=tblRiskRegister322[[#This Row],[Risk Score]],"Yes","No"),"No"),"Yes")</f>
        <v>No</v>
      </c>
      <c r="AH141" s="17"/>
      <c r="AI141" s="17"/>
      <c r="AJ141" s="18"/>
    </row>
    <row r="142" spans="2:36" ht="28">
      <c r="B142" s="15" t="s">
        <v>94</v>
      </c>
      <c r="C142" s="15"/>
      <c r="D142" s="13">
        <v>6.7</v>
      </c>
      <c r="E142" s="14" t="s">
        <v>232</v>
      </c>
      <c r="F142" s="13"/>
      <c r="G142" s="13" t="s">
        <v>416</v>
      </c>
      <c r="H142" s="13" t="s">
        <v>512</v>
      </c>
      <c r="I142" s="14"/>
      <c r="J142" s="14"/>
      <c r="K142" s="14"/>
      <c r="L142" s="16"/>
      <c r="M142" s="24">
        <f>IFERROR(VLOOKUP(tblRiskRegister322[[#This Row],[Asset Class]],tblVCDBIndex[],4,FALSE),"")</f>
        <v>3</v>
      </c>
      <c r="N142" s="24" t="str">
        <f>IFERROR(VLOOKUP(10*tblRiskRegister322[[#This Row],[Safeguard Maturity Score]]+tblRiskRegister322[[#This Row],[VCDB Index]],tblHITIndexWeightTable[],4,FALSE),"")</f>
        <v/>
      </c>
      <c r="O142" s="24">
        <f>VLOOKUP(tblRiskRegister322[[#This Row],[Asset Class]],tblInherentImpacts3046[],2,FALSE)</f>
        <v>3</v>
      </c>
      <c r="P142" s="24">
        <f>VLOOKUP(tblRiskRegister322[[#This Row],[Asset Class]],tblInherentImpacts3046[],3,FALSE)</f>
        <v>3</v>
      </c>
      <c r="Q142" s="24">
        <f>VLOOKUP(tblRiskRegister322[[#This Row],[Asset Class]],tblInherentImpacts3046[],4,FALSE)</f>
        <v>4</v>
      </c>
      <c r="R142" s="24">
        <f>VLOOKUP(tblRiskRegister322[[#This Row],[Asset Class]],tblInherentImpacts3046[],5,FALSE)</f>
        <v>4</v>
      </c>
      <c r="S142" s="24" t="str">
        <f>IFERROR(MAX(tblRiskRegister322[[#This Row],[Impact to Mission]:[Impact to Obligations]])*tblRiskRegister322[[#This Row],[Expectancy Score]],"")</f>
        <v/>
      </c>
      <c r="T142" s="24" t="str">
        <f>tblRiskRegister322[[#This Row],[Risk Score]]</f>
        <v/>
      </c>
      <c r="U142" s="13"/>
      <c r="V142" s="50">
        <v>6.7</v>
      </c>
      <c r="W142" s="15" t="s">
        <v>232</v>
      </c>
      <c r="X142" s="15" t="s">
        <v>329</v>
      </c>
      <c r="Y142" s="26"/>
      <c r="Z142" s="16"/>
      <c r="AA142" s="23" t="str">
        <f>IFERROR(VLOOKUP(10*tblRiskRegister322[[#This Row],[Risk Treatment Safeguard Maturity Score]]+tblRiskRegister322[[#This Row],[VCDB Index]],tblHITIndexWeightTable[],4,FALSE),"")</f>
        <v/>
      </c>
      <c r="AB142" s="65"/>
      <c r="AC142" s="65"/>
      <c r="AD142" s="65"/>
      <c r="AE142" s="65"/>
      <c r="AF142" s="23" t="str">
        <f>IFERROR(MAX(tblRiskRegister322[[#This Row],[Risk Treatment Safeguard Impact to Mission]:[Risk Treatment Safeguard Impact to Obligations]])*tblRiskRegister322[[#This Row],[Risk Treatment
Safeguard Expectancy Score]],"")</f>
        <v/>
      </c>
      <c r="AG142" s="23" t="str">
        <f>IF(tblRiskRegister322[[#This Row],[Risk Score]]&gt;AcceptableRisk1,IF(tblRiskRegister322[[#This Row],[Risk Treatment Safeguard Risk Score]]&lt;AcceptableRisk1, IF(tblRiskRegister322[[#This Row],[Risk Treatment Safeguard Risk Score]]&lt;=tblRiskRegister322[[#This Row],[Risk Score]],"Yes","No"),"No"),"Yes")</f>
        <v>No</v>
      </c>
      <c r="AH142" s="17"/>
      <c r="AI142" s="17"/>
      <c r="AJ142" s="18"/>
    </row>
  </sheetData>
  <sheetProtection sheet="1" formatCells="0" formatColumns="0" formatRows="0" insertRows="0" sort="0" autoFilter="0" pivotTables="0"/>
  <mergeCells count="8">
    <mergeCell ref="C8:S8"/>
    <mergeCell ref="AL8:AN8"/>
    <mergeCell ref="U8:AJ8"/>
    <mergeCell ref="G2:Q4"/>
    <mergeCell ref="B2:B4"/>
    <mergeCell ref="D2:E2"/>
    <mergeCell ref="D3:E3"/>
    <mergeCell ref="D4:E4"/>
  </mergeCells>
  <phoneticPr fontId="23" type="noConversion"/>
  <conditionalFormatting sqref="T11:T142">
    <cfRule type="iconSet" priority="5">
      <iconSet showValue="0" reverse="1">
        <cfvo type="percent" val="0"/>
        <cfvo type="num" val="9"/>
        <cfvo type="num" val="15"/>
      </iconSet>
    </cfRule>
    <cfRule type="iconSet" priority="6">
      <iconSet showValue="0" reverse="1">
        <cfvo type="percent" val="0"/>
        <cfvo type="num" val="AcceptableRisk"/>
        <cfvo type="num" val="15"/>
      </iconSet>
    </cfRule>
  </conditionalFormatting>
  <dataValidations count="5">
    <dataValidation type="list" allowBlank="1" showInputMessage="1" showErrorMessage="1" sqref="Z11:Z142 L11:L142" xr:uid="{463B40CC-B80A-4404-8048-57AC420A15A7}">
      <formula1>Maturity_Score</formula1>
    </dataValidation>
    <dataValidation type="list" allowBlank="1" showInputMessage="1" showErrorMessage="1" sqref="AJ11:AJ142" xr:uid="{7E714C81-27D2-4066-A252-38816336793D}">
      <formula1>"2021,2022,2023,2024,2025,2026,2027,2028,2029,2030,2031"</formula1>
    </dataValidation>
    <dataValidation type="list" allowBlank="1" showInputMessage="1" showErrorMessage="1" sqref="B11:B142" xr:uid="{8A7B9C93-F011-4A2A-A693-C6D9F6345717}">
      <formula1>Asset_Class</formula1>
    </dataValidation>
    <dataValidation type="list" allowBlank="1" showInputMessage="1" showErrorMessage="1" sqref="AI11:AI142" xr:uid="{03B1CEFF-8EAA-4668-8814-340B63152624}">
      <formula1>"Q1, Q2, Q3, Q4"</formula1>
    </dataValidation>
    <dataValidation type="list" allowBlank="1" showInputMessage="1" showErrorMessage="1" sqref="U11:U142" xr:uid="{FA175817-382B-420C-8759-213C7D78422B}">
      <formula1>"Accept,Reduce"</formula1>
    </dataValidation>
  </dataValidations>
  <pageMargins left="0.7" right="0.7" top="0.75" bottom="0.75" header="0.3" footer="0.3"/>
  <pageSetup orientation="portrait" r:id="rId1"/>
  <legacy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807C70-5236-41F0-9881-3A6C1B85CF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Cover</vt:lpstr>
      <vt:lpstr>MIS 595</vt:lpstr>
      <vt:lpstr>1. Impact Criteria Survey </vt:lpstr>
      <vt:lpstr>2. Enterprise Parameters</vt:lpstr>
      <vt:lpstr>3b. Risk Register Controls v8</vt:lpstr>
      <vt:lpstr>Legend</vt:lpstr>
      <vt:lpstr>Lookup Tables</vt:lpstr>
      <vt:lpstr>Impact Criteria Survey -EXAMPLE</vt:lpstr>
      <vt:lpstr>Enterprise Parameters  -EXAMPLE</vt:lpstr>
      <vt:lpstr>Risk Register Controls v8 - EX</vt:lpstr>
      <vt:lpstr>AcceptableRisk</vt:lpstr>
      <vt:lpstr>AcceptableRisk1</vt:lpstr>
      <vt:lpstr>Asset_Classes</vt:lpstr>
      <vt:lpstr>'3b. Risk Register Controls v8'!Industry</vt:lpstr>
      <vt:lpstr>'Enterprise Parameters  -EXAMPLE'!Industry</vt:lpstr>
      <vt:lpstr>'Impact Criteria Survey -EXAMPLE'!Industry</vt:lpstr>
      <vt:lpstr>'Risk Register Controls v8 - EX'!Industry</vt:lpstr>
      <vt:lpstr>Industry</vt:lpstr>
      <vt:lpstr>'3b. Risk Register Controls v8'!Maturity_Score</vt:lpstr>
      <vt:lpstr>'Enterprise Parameters  -EXAMPLE'!Maturity_Score</vt:lpstr>
      <vt:lpstr>'Impact Criteria Survey -EXAMPLE'!Maturity_Score</vt:lpstr>
      <vt:lpstr>'Risk Register Controls v8 - EX'!Maturity_Score</vt:lpstr>
      <vt:lpstr>Maturity_Score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Cronin</dc:creator>
  <cp:lastModifiedBy>Jacinta Izundu</cp:lastModifiedBy>
  <dcterms:created xsi:type="dcterms:W3CDTF">2019-10-25T13:04:24Z</dcterms:created>
  <dcterms:modified xsi:type="dcterms:W3CDTF">2025-12-13T02:53:21Z</dcterms:modified>
</cp:coreProperties>
</file>